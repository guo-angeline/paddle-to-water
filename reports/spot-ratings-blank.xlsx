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tings" sheetId="1" state="visible" r:id="rId3"/>
  </sheets>
  <definedNames>
    <definedName function="false" hidden="true" localSheetId="0" name="_xlnm._FilterDatabase" vbProcedure="false">Ratings!$A$9:$H$152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<sst xmlns="http://schemas.openxmlformats.org/spreadsheetml/2006/main" count="611" uniqueCount="414">
  <si>
    <t xml:space="preserve">Paddle to Water: your personal spot ratings</t>
  </si>
  <si>
    <t xml:space="preserve">Fill in the YELLOW columns only (E and F). Everything else is reference; leave it alone.</t>
  </si>
  <si>
    <t xml:space="preserve">Rating scale 1.0 to 5.0, decimals fine (4.5 is valid). This is YOUR take as a paddler.</t>
  </si>
  <si>
    <t xml:space="preserve">LEAVE IT BLANK if you have not paddled it or are unsure. Blank is the correct answer for most rows,</t>
  </si>
  <si>
    <t xml:space="preserve">     and it is not a gap: a spot with no rating simply shows no score on the site. Never guess a number.</t>
  </si>
  <si>
    <t xml:space="preserve">Column G flags spots where our data looks wrong. Several you can settle from memory. Answer in column F.</t>
  </si>
  <si>
    <t xml:space="preserve">Do not re-sort or delete rows: column A (id) is how your ratings map back to the database.</t>
  </si>
  <si>
    <t xml:space="preserve">id</t>
  </si>
  <si>
    <t xml:space="preserve">Spot</t>
  </si>
  <si>
    <t xml:space="preserve">City</t>
  </si>
  <si>
    <t xml:space="preserve">Region</t>
  </si>
  <si>
    <t xml:space="preserve">Your rating (1.0-5.0)</t>
  </si>
  <si>
    <t xml:space="preserve">Your notes (optional)</t>
  </si>
  <si>
    <t xml:space="preserve">Heads-up: our data may be wrong here</t>
  </si>
  <si>
    <t xml:space="preserve">What we currently say about it</t>
  </si>
  <si>
    <t xml:space="preserve">Progress</t>
  </si>
  <si>
    <t xml:space="preserve">(example)</t>
  </si>
  <si>
    <t xml:space="preserve">Example Launch</t>
  </si>
  <si>
    <t xml:space="preserve">Somewhere</t>
  </si>
  <si>
    <t xml:space="preserve">East Bay</t>
  </si>
  <si>
    <t xml:space="preserve">Easy beach carry, lot fills by 9am on weekends</t>
  </si>
  <si>
    <t xml:space="preserve">(this row is an example, overwrite or ignore)</t>
  </si>
  <si>
    <t xml:space="preserve">Spots rated</t>
  </si>
  <si>
    <t xml:space="preserve">Avila Beach</t>
  </si>
  <si>
    <t xml:space="preserve">Central Coast</t>
  </si>
  <si>
    <t xml:space="preserve">Old Port Beach at Port San Luis is a drive-to launch where at low tide you can roll gear straig...</t>
  </si>
  <si>
    <t xml:space="preserve">Total spots</t>
  </si>
  <si>
    <t xml:space="preserve">Carmel River Lagoon</t>
  </si>
  <si>
    <t xml:space="preserve">Carmel-by-the-Sea</t>
  </si>
  <si>
    <t xml:space="preserve">A calm tidal lagoon and wetlands reserve with marshy channels thick with shorebirds, at Carmel ...</t>
  </si>
  <si>
    <t xml:space="preserve">Left to go</t>
  </si>
  <si>
    <t xml:space="preserve">Elkhorn Slough</t>
  </si>
  <si>
    <t xml:space="preserve">Moss Landing</t>
  </si>
  <si>
    <t xml:space="preserve">Top wildlife paddle: sea otters, harbor seals, shorebirds. Launch from Kirby Park or Moss Landi...</t>
  </si>
  <si>
    <t xml:space="preserve">Average rating</t>
  </si>
  <si>
    <t xml:space="preserve">Morro Bay</t>
  </si>
  <si>
    <t xml:space="preserve">At least four launches in Morro Bay (Coleman, Tidelands, State Park, Baywood).</t>
  </si>
  <si>
    <t xml:space="preserve">Protected estuary where Coleman Park's small beach gives the easiest entry at any tide level. S...</t>
  </si>
  <si>
    <t xml:space="preserve">Spread (max-min)</t>
  </si>
  <si>
    <t xml:space="preserve">Santa Cruz Harbor</t>
  </si>
  <si>
    <t xml:space="preserve">Santa Cruz</t>
  </si>
  <si>
    <t xml:space="preserve">Protected harbor launch with calm water inside the breakwater and quick access to Monterey Bay....</t>
  </si>
  <si>
    <t xml:space="preserve">^ if this stays under 1.5, your</t>
  </si>
  <si>
    <t xml:space="preserve">Buckley Cove Park &amp; Boat Launch</t>
  </si>
  <si>
    <t xml:space="preserve">Stockton</t>
  </si>
  <si>
    <t xml:space="preserve">Central Valley</t>
  </si>
  <si>
    <t xml:space="preserve">A 53-acre Stockton city park on the San Joaquin Deep Water Channel with a public launch ramp, d...</t>
  </si>
  <si>
    <t xml:space="preserve">   ratings do not separate spots</t>
  </si>
  <si>
    <t xml:space="preserve">Don Pedro Reservoir</t>
  </si>
  <si>
    <t xml:space="preserve">La Grange</t>
  </si>
  <si>
    <t xml:space="preserve">Foothill reservoir with paved launch ramps at Fleming Meadows and Moccasin Point. Warm water an...</t>
  </si>
  <si>
    <t xml:space="preserve">   either, same as the pilot found.</t>
  </si>
  <si>
    <t xml:space="preserve">Lodi Lake</t>
  </si>
  <si>
    <t xml:space="preserve">Lodi</t>
  </si>
  <si>
    <t xml:space="preserve">An oxbow lake with a shore launch and a connection to the Mokelumne River to extend the paddle....</t>
  </si>
  <si>
    <t xml:space="preserve">New Hogan Lake</t>
  </si>
  <si>
    <t xml:space="preserve">Valley Springs</t>
  </si>
  <si>
    <t xml:space="preserve">Warm-water reservoir in the Calaveras foothills with four launch ramps and miles of quiet coves...</t>
  </si>
  <si>
    <t xml:space="preserve">New Melones Lake</t>
  </si>
  <si>
    <t xml:space="preserve">Sonora</t>
  </si>
  <si>
    <t xml:space="preserve">A vast Gold Country reservoir with miles of quiet coves and arms. The Glory Hole Recreation Are...</t>
  </si>
  <si>
    <t xml:space="preserve">Woodward Reservoir</t>
  </si>
  <si>
    <t xml:space="preserve">Oakdale</t>
  </si>
  <si>
    <t xml:space="preserve">A county reservoir north of Oakdale; paddling allowed within 200 feet of shore. Launch from the...</t>
  </si>
  <si>
    <t xml:space="preserve">Alameda Estuary</t>
  </si>
  <si>
    <t xml:space="preserve">Alameda</t>
  </si>
  <si>
    <t xml:space="preserve">Narrow, sheltered channel between Alameda and Oakland with almost no swell and minimal powerboa...</t>
  </si>
  <si>
    <t xml:space="preserve">Albany Beach</t>
  </si>
  <si>
    <t xml:space="preserve">Albany</t>
  </si>
  <si>
    <t xml:space="preserve">Wide sandy shore behind the Albany Bulb, a semi-sheltered basin that softens Bay chop on calmer...</t>
  </si>
  <si>
    <t xml:space="preserve">Antioch Marina</t>
  </si>
  <si>
    <t xml:space="preserve">Antioch</t>
  </si>
  <si>
    <t xml:space="preserve">A Bay Water Trail site on the San Joaquin River near its confluence with the Sacramento, with A...</t>
  </si>
  <si>
    <t xml:space="preserve">Bay Point Regional Shoreline</t>
  </si>
  <si>
    <t xml:space="preserve">Bay Point</t>
  </si>
  <si>
    <t xml:space="preserve">Sheltered launch on the J Channel slough where the Bay meets the Delta, with access to the San ...</t>
  </si>
  <si>
    <t xml:space="preserve">Berkeley Marina</t>
  </si>
  <si>
    <t xml:space="preserve">Berkeley</t>
  </si>
  <si>
    <t xml:space="preserve">Pin sits on the DoubleTree hotel lot, ~410m from the nearest launch.</t>
  </si>
  <si>
    <t xml:space="preserve">Protected inner basin shielded from open Bay wind, with a long pier acting as a windbreak. Laun...</t>
  </si>
  <si>
    <t xml:space="preserve">Big Break</t>
  </si>
  <si>
    <t xml:space="preserve">Oakley</t>
  </si>
  <si>
    <t xml:space="preserve">Gateway to the Sacramento-San Joaquin Delta, with a beach launch about a quarter mile from park...</t>
  </si>
  <si>
    <t xml:space="preserve">Contra Loma Reservoir</t>
  </si>
  <si>
    <t xml:space="preserve">Reservoir with a designated cartop and paddleboard launch. Surrounding hills feel quiet with mi...</t>
  </si>
  <si>
    <t xml:space="preserve">Crown Beach</t>
  </si>
  <si>
    <t xml:space="preserve">Half-mile sandy shoreline with a gentle beach launch. At low or minus tide the beach flattens o...</t>
  </si>
  <si>
    <t xml:space="preserve">Del Valle Regional Park</t>
  </si>
  <si>
    <t xml:space="preserve">Livermore</t>
  </si>
  <si>
    <t xml:space="preserve">Seven-mile reservoir with a 10 mph speed limit for all vessels, keeping it unusually calm for i...</t>
  </si>
  <si>
    <t xml:space="preserve">Dutch Slough</t>
  </si>
  <si>
    <t xml:space="preserve">Wrong facility: named for Viking Harbor (private, no ramp). Attributes match Sunset Harbor.</t>
  </si>
  <si>
    <t xml:space="preserve">24-hour public launch on Dutch Slough with dock ramps on both sides, into the Delta's backwater...</t>
  </si>
  <si>
    <t xml:space="preserve">Eden Landing Ecological Reserve</t>
  </si>
  <si>
    <t xml:space="preserve">Hayward</t>
  </si>
  <si>
    <t xml:space="preserve">A newer public launch on tidal Mt Eden Creek in a 6,400-acre salt marsh reserve. An ADA gangway...</t>
  </si>
  <si>
    <t xml:space="preserve">Emeryville Marina</t>
  </si>
  <si>
    <t xml:space="preserve">Emeryville</t>
  </si>
  <si>
    <t xml:space="preserve">Pin sits on a building; ramp is ~180m away.</t>
  </si>
  <si>
    <t xml:space="preserve">A marina launch onto open bay water with sweeping Bay Bridge and Golden Gate views, shared by m...</t>
  </si>
  <si>
    <t xml:space="preserve">Encinal Beach</t>
  </si>
  <si>
    <t xml:space="preserve">A quiet Alameda shoreline with direct Bay access, sheltered on calm days. The beach exposes at ...</t>
  </si>
  <si>
    <t xml:space="preserve">Encinal Boat Ramp to Ballena Bay</t>
  </si>
  <si>
    <t xml:space="preserve">Clean paved launch into the protected inner estuary. Paddle north along Crown Beach or southeas...</t>
  </si>
  <si>
    <t xml:space="preserve">Jack London Square (Oakland Estuary)</t>
  </si>
  <si>
    <t xml:space="preserve">Oakland</t>
  </si>
  <si>
    <t xml:space="preserve">A flat, protected urban channel with a free public dock at the Jack London Aquatic Center, abou...</t>
  </si>
  <si>
    <t xml:space="preserve">Keller Beach / Point Richmond</t>
  </si>
  <si>
    <t xml:space="preserve">Richmond</t>
  </si>
  <si>
    <t xml:space="preserve">A wide sandy bay beach on the Bay Water Trail, with a steep quarter-mile path from roadside par...</t>
  </si>
  <si>
    <t xml:space="preserve">Lake Elizabeth</t>
  </si>
  <si>
    <t xml:space="preserve">Fremont</t>
  </si>
  <si>
    <t xml:space="preserve">An 83-acre lake in Fremont's Central Park with a dedicated carry-down launch. No motorized boat...</t>
  </si>
  <si>
    <t xml:space="preserve">Lake Merritt</t>
  </si>
  <si>
    <t xml:space="preserve">A rare urban paddle on a tidal lagoon in the heart of Oakland, ringed by parks and grand archit...</t>
  </si>
  <si>
    <t xml:space="preserve">Lower Sherman Island Fishing Access</t>
  </si>
  <si>
    <t xml:space="preserve">Rio Vista</t>
  </si>
  <si>
    <t xml:space="preserve">A wildlife area access at the Sacramento and San Joaquin confluence, renowned for windsurfing a...</t>
  </si>
  <si>
    <t xml:space="preserve">Martinez Marina</t>
  </si>
  <si>
    <t xml:space="preserve">Martinez</t>
  </si>
  <si>
    <t xml:space="preserve">Features a launch ramp, beach area, and docks. Located on the Carquinez Strait with views of th...</t>
  </si>
  <si>
    <t xml:space="preserve">MLK Jr. Regional Shoreline</t>
  </si>
  <si>
    <t xml:space="preserve">Notes merge two launches ~2.5km apart (Doolittle ramp + Tidewater dock).</t>
  </si>
  <si>
    <t xml:space="preserve">ADA-accessible paddle craft dock on San Leandro Bay with a free two-lane launch off Doolittle D...</t>
  </si>
  <si>
    <t xml:space="preserve">Pittsburg Marina</t>
  </si>
  <si>
    <t xml:space="preserve">Pittsburg</t>
  </si>
  <si>
    <t xml:space="preserve">A marina on the tidal San Joaquin and Sacramento Rivers with bay access to the west and the Del...</t>
  </si>
  <si>
    <t xml:space="preserve">Point Pinole Regional Shoreline</t>
  </si>
  <si>
    <t xml:space="preserve">Open San Pablo Bay access with a quarter-mile walk from parking to the Pinole Point put-in. Low...</t>
  </si>
  <si>
    <t xml:space="preserve">Point San Pablo Marina</t>
  </si>
  <si>
    <t xml:space="preserve">Working marina at the tip of the Point San Pablo peninsula, with launch access into San Pablo B...</t>
  </si>
  <si>
    <t xml:space="preserve">Quarry Lakes Regional Recreation Area</t>
  </si>
  <si>
    <t xml:space="preserve">Former quarries turned into clear freshwater lakes, with a roughly 3-mile loop around Horseshoe...</t>
  </si>
  <si>
    <t xml:space="preserve">Richmond Marina</t>
  </si>
  <si>
    <t xml:space="preserve">Sheltered inner harbor with a straightforward launch into San Pablo Bay. The calm basin is forg...</t>
  </si>
  <si>
    <t xml:space="preserve">Riverview Park</t>
  </si>
  <si>
    <t xml:space="preserve">A kiteboarding and windsurfing launch on the San Joaquin and Sacramento Rivers, just east of th...</t>
  </si>
  <si>
    <t xml:space="preserve">San Leandro Bay</t>
  </si>
  <si>
    <t xml:space="preserve">Shallow, protected tidal basin with access at Tidewater in Oakland and the boat ramp at the end...</t>
  </si>
  <si>
    <t xml:space="preserve">Shadow Cliffs Regional Park</t>
  </si>
  <si>
    <t xml:space="preserve">Pleasanton</t>
  </si>
  <si>
    <t xml:space="preserve">Former gravel quarry with electric-motor-only rules that keep the water smooth. Warm, calm, and...</t>
  </si>
  <si>
    <t xml:space="preserve">Abbotts Lagoon</t>
  </si>
  <si>
    <t xml:space="preserve">Inverness</t>
  </si>
  <si>
    <t xml:space="preserve">North Bay</t>
  </si>
  <si>
    <t xml:space="preserve">A brackish coastal lagoon in Point Reyes, reached by carrying your board 1.1 miles from the Pie...</t>
  </si>
  <si>
    <t xml:space="preserve">Alvarez Ninth Street Park</t>
  </si>
  <si>
    <t xml:space="preserve">Benicia</t>
  </si>
  <si>
    <t xml:space="preserve">Free public boat launch at the foot of West 9th Street, with a fishing pier, restrooms, and pic...</t>
  </si>
  <si>
    <t xml:space="preserve">Angel Island State Park</t>
  </si>
  <si>
    <t xml:space="preserve">Tiburon</t>
  </si>
  <si>
    <t xml:space="preserve">Open-bay destination in the middle of San Francisco Bay, reachable only by boat. Land on a beac...</t>
  </si>
  <si>
    <t xml:space="preserve">Bayfront Park</t>
  </si>
  <si>
    <t xml:space="preserve">Mill Valley</t>
  </si>
  <si>
    <t xml:space="preserve">ADA-accessible gangway and low-freeboard dock drop-in at Pickleweed Inlet on Richardson Bay. Ca...</t>
  </si>
  <si>
    <t xml:space="preserve">Belden's Landing</t>
  </si>
  <si>
    <t xml:space="preserve">Suisun City</t>
  </si>
  <si>
    <t xml:space="preserve">Boat ramp on Montezuma Slough at the edge of the Grizzly Island marsh, with a paved lot and res...</t>
  </si>
  <si>
    <t xml:space="preserve">Black Point Boat Launch</t>
  </si>
  <si>
    <t xml:space="preserve">Novato</t>
  </si>
  <si>
    <t xml:space="preserve">Popular public launch at the mouth of the Petaluma River, looking out to San Pablo Bay. Put in ...</t>
  </si>
  <si>
    <t xml:space="preserve">Blackie’s Pasture</t>
  </si>
  <si>
    <t xml:space="preserve">Two free parking lots and a small beach opening onto Richardson Bay, with views to San Francisc...</t>
  </si>
  <si>
    <t xml:space="preserve">Bodega Harbor (Westside Regional Park)</t>
  </si>
  <si>
    <t xml:space="preserve">Bodega Bay</t>
  </si>
  <si>
    <t xml:space="preserve">Westside Regional Park has a three-lane boat ramp and a wheelchair-accessible kayak launch. Wel...</t>
  </si>
  <si>
    <t xml:space="preserve">China Camp</t>
  </si>
  <si>
    <t xml:space="preserve">San Rafael</t>
  </si>
  <si>
    <t xml:space="preserve">Park designates two put-ins (China Camp Village + Bullhead Flat). Which do you mean?</t>
  </si>
  <si>
    <t xml:space="preserve">Launch from the gravel beach at China Camp Village at mid or high tide. At low tide the mud is ...</t>
  </si>
  <si>
    <t xml:space="preserve">Clear Lake State Park</t>
  </si>
  <si>
    <t xml:space="preserve">Kelseyville</t>
  </si>
  <si>
    <t xml:space="preserve">California's largest natural freshwater lake, with a dedicated boat ramp inside the state park ...</t>
  </si>
  <si>
    <t xml:space="preserve">Corte Madera Creek</t>
  </si>
  <si>
    <t xml:space="preserve">Corte Madera</t>
  </si>
  <si>
    <t xml:space="preserve">Protected tidal creek past Larkspur's houseboats that stays calm in wind. Launch from Bon Air L...</t>
  </si>
  <si>
    <t xml:space="preserve">Corte Madera Creek - Larkspur Landing</t>
  </si>
  <si>
    <t xml:space="preserve">Larkspur</t>
  </si>
  <si>
    <t xml:space="preserve">Sheltered tidal creek launch next to the Larkspur Landing ferry terminal, with about 2 miles of...</t>
  </si>
  <si>
    <t xml:space="preserve">Cullinan Ranch Boat Launch</t>
  </si>
  <si>
    <t xml:space="preserve">Vallejo</t>
  </si>
  <si>
    <t xml:space="preserve">Launch into the shallow restored tidal marsh of the San Pablo Bay National Wildlife Refuge, wit...</t>
  </si>
  <si>
    <t xml:space="preserve">Cuttings Wharf</t>
  </si>
  <si>
    <t xml:space="preserve">Napa</t>
  </si>
  <si>
    <t xml:space="preserve">Scenic rural launch on the Napa River that opens onto the Napa-Sonoma Marshes, popular for padd...</t>
  </si>
  <si>
    <t xml:space="preserve">Dickson Ranch Boat Launch</t>
  </si>
  <si>
    <t xml:space="preserve">Remote tidal-marsh restoration launch in the Sears Point unit of the San Pablo Bay National Wil...</t>
  </si>
  <si>
    <t xml:space="preserve">Doran Regional Park</t>
  </si>
  <si>
    <t xml:space="preserve">Park on the spit between ocean and Bodega Harbor, with an ADA-accessible kayak launch and a ful...</t>
  </si>
  <si>
    <t xml:space="preserve">Downtown Napa - Main Street Dock</t>
  </si>
  <si>
    <t xml:space="preserve">Destination dock on the Napa River fronting downtown Napa's riverfront, meant for tying up rath...</t>
  </si>
  <si>
    <t xml:space="preserve">Drakes Estero</t>
  </si>
  <si>
    <t xml:space="preserve">Point Reyes Station</t>
  </si>
  <si>
    <t xml:space="preserve">A pristine tidal estuary in Point Reyes with glassy water, harbor seals, and almost no powerboa...</t>
  </si>
  <si>
    <t xml:space="preserve">Dunphy Park</t>
  </si>
  <si>
    <t xml:space="preserve">Sausalito</t>
  </si>
  <si>
    <t xml:space="preserve">Go-to launch for Sausalito's waterfront and Richardson Bay, with a small ADA-accessible beach s...</t>
  </si>
  <si>
    <t xml:space="preserve">Galinas Creek</t>
  </si>
  <si>
    <t xml:space="preserve">Best accessed at Buck's Landing, a small Marin County park with free parking and a shore launch...</t>
  </si>
  <si>
    <t xml:space="preserve">Healdsburg Riverfront Regional Park</t>
  </si>
  <si>
    <t xml:space="preserve">Healdsburg</t>
  </si>
  <si>
    <t xml:space="preserve">Lines the Russian River just outside downtown, with two oxbow lakes inside the park for quiet, ...</t>
  </si>
  <si>
    <t xml:space="preserve">Heart's Desire Beach</t>
  </si>
  <si>
    <t xml:space="preserve">Inside Tomales Bay State Park facing the protected inner bay, which keeps the water calm and th...</t>
  </si>
  <si>
    <t xml:space="preserve">Horseshoe Cove</t>
  </si>
  <si>
    <t xml:space="preserve">Launch beneath the Marin tower of the Golden Gate Bridge at Fort Baker, with free parking right...</t>
  </si>
  <si>
    <t xml:space="preserve">Lake Berryessa</t>
  </si>
  <si>
    <t xml:space="preserve">A 25-mile reservoir with dramatic canyon topography and little congestion outside peak summer h...</t>
  </si>
  <si>
    <t xml:space="preserve">Lake Solano (Putah Creek)</t>
  </si>
  <si>
    <t xml:space="preserve">Winters</t>
  </si>
  <si>
    <t xml:space="preserve">Calm, narrow flatwater on Putah Creek below Monticello Dam. No gas or electric motors are allow...</t>
  </si>
  <si>
    <t xml:space="preserve">Lake Sonoma</t>
  </si>
  <si>
    <t xml:space="preserve">Geyserville</t>
  </si>
  <si>
    <t xml:space="preserve">50 miles of shoreline with almost no visible development. Launch at Yorty Creek (car-top only) ...</t>
  </si>
  <si>
    <t xml:space="preserve">Lake Wilson (Riverfront Regional Park)</t>
  </si>
  <si>
    <t xml:space="preserve">Former gravel quarry lake in Riverfront Regional Park along the Russian River near Healdsburg. ...</t>
  </si>
  <si>
    <t xml:space="preserve">Loch Lomond Marina</t>
  </si>
  <si>
    <t xml:space="preserve">Marina launch into Richardson Bay. Check tide and wind: it gets very shallow and muddy at low t...</t>
  </si>
  <si>
    <t xml:space="preserve">McNear's Beach</t>
  </si>
  <si>
    <t xml:space="preserve">Paved ramp right off the parking lot, on the Bay Water Trail with easy access to San Pablo Bay....</t>
  </si>
  <si>
    <t xml:space="preserve">Miller Boat Launch</t>
  </si>
  <si>
    <t xml:space="preserve">Marshall</t>
  </si>
  <si>
    <t xml:space="preserve">Narrow, protected waters running 15 miles along the San Andreas Fault. Launch from Miller Boat ...</t>
  </si>
  <si>
    <t xml:space="preserve">Napa River - Kennedy Park</t>
  </si>
  <si>
    <t xml:space="preserve">A mellow tidal stretch through downtown with winery-flanked banks and almost no boat traffic. L...</t>
  </si>
  <si>
    <t xml:space="preserve">Novato Creek</t>
  </si>
  <si>
    <t xml:space="preserve">Quiet tule-marsh estuary launching from Stafford Lake Park. The creek grows more tidal toward S...</t>
  </si>
  <si>
    <t xml:space="preserve">Paradise Beach Park</t>
  </si>
  <si>
    <t xml:space="preserve">A narrow, rocky beach in a 19-acre Marin park, with a dedicated kayak and canoe launch near the...</t>
  </si>
  <si>
    <t xml:space="preserve">Petaluma Marina</t>
  </si>
  <si>
    <t xml:space="preserve">Petaluma</t>
  </si>
  <si>
    <t xml:space="preserve">A ramp-and-dock launch on the tidal Petaluma River, navigable 1.5 miles upriver to the downtown...</t>
  </si>
  <si>
    <t xml:space="preserve">Petaluma River</t>
  </si>
  <si>
    <t xml:space="preserve">Two put-ins on the same tidal river. The Petaluma Marina near Hwy 101 has a 24-hour public boat...</t>
  </si>
  <si>
    <t xml:space="preserve">Petaluma River Turning Basin</t>
  </si>
  <si>
    <t xml:space="preserve">A public launch in the heart of downtown Petaluma on the tidal Petaluma River, navigable downri...</t>
  </si>
  <si>
    <t xml:space="preserve">Russian River</t>
  </si>
  <si>
    <t xml:space="preserve">Sonoma/Mendocino</t>
  </si>
  <si>
    <t xml:space="preserve">Lazy summer paddling through redwood-lined banks at Guerneville and Healdsburg, with put-ins at...</t>
  </si>
  <si>
    <t xml:space="preserve">Russian River - Johnson's Beach</t>
  </si>
  <si>
    <t xml:space="preserve">Guerneville</t>
  </si>
  <si>
    <t xml:space="preserve">A seasonal summer dam creates flat, lake-like conditions. On-site rentals from Russian River Tu...</t>
  </si>
  <si>
    <t xml:space="preserve">Russian River - Steelhead Beach</t>
  </si>
  <si>
    <t xml:space="preserve">Forestville</t>
  </si>
  <si>
    <t xml:space="preserve">Year-round beach launch at Steelhead Beach Regional Park. Summer flow runs 3-5 knots and is fri...</t>
  </si>
  <si>
    <t xml:space="preserve">Russian River - Sunset Beach River Park</t>
  </si>
  <si>
    <t xml:space="preserve">Sunset Beach River Park, locally called Mom's Beach, is a wide sandy stretch backed by redwoods...</t>
  </si>
  <si>
    <t xml:space="preserve">Russian River - Veterans Memorial Beach</t>
  </si>
  <si>
    <t xml:space="preserve">Healdsburg Veterans Memorial Beach: broad sandy beach, lifeguards in season, easy access on a g...</t>
  </si>
  <si>
    <t xml:space="preserve">San Rafael Canal</t>
  </si>
  <si>
    <t xml:space="preserve">101 Surf Sports has its own dock on the San Rafael Canal, with calm canal water feeding into Sa...</t>
  </si>
  <si>
    <t xml:space="preserve">Santa Rosa Nagasawa Park</t>
  </si>
  <si>
    <t xml:space="preserve">Santa Rosa</t>
  </si>
  <si>
    <t xml:space="preserve">Quiet urban put-in on a small waterway in the Sonoma County creek system. Calm and sheltered fo...</t>
  </si>
  <si>
    <t xml:space="preserve">Schoonmaker Beach</t>
  </si>
  <si>
    <t xml:space="preserve">Launch from Dunphy Park at high tide, or from a marina boat ramp for a flatter entry. Wind can ...</t>
  </si>
  <si>
    <t xml:space="preserve">Spring Lake</t>
  </si>
  <si>
    <t xml:space="preserve">Motor-limited lake with a year-round paved ramp at the Newanga Avenue entrance. Rentals through...</t>
  </si>
  <si>
    <t xml:space="preserve">Strawberry</t>
  </si>
  <si>
    <t xml:space="preserve">Strawberry Point juts into Richardson Bay with access to sheltered water from a dock at the end...</t>
  </si>
  <si>
    <t xml:space="preserve">Suisun City Marina</t>
  </si>
  <si>
    <t xml:space="preserve">Public boat ramps and floating docks at the downtown waterfront, with direct access to Suisun S...</t>
  </si>
  <si>
    <t xml:space="preserve">Turney Street Public Boat Ramp</t>
  </si>
  <si>
    <t xml:space="preserve">Broad, shallow arm of the Bay between Sausalito and Tiburon with protected water. Launch from D...</t>
  </si>
  <si>
    <t xml:space="preserve">Baywinds Park</t>
  </si>
  <si>
    <t xml:space="preserve">Foster City</t>
  </si>
  <si>
    <t xml:space="preserve">Peninsula</t>
  </si>
  <si>
    <t xml:space="preserve">A windsurfing and kiteboarding shoreline on the bay with consistent strong wind. Reach the wate...</t>
  </si>
  <si>
    <t xml:space="preserve">Brisbane Marina Ramp</t>
  </si>
  <si>
    <t xml:space="preserve">Brisbane</t>
  </si>
  <si>
    <t xml:space="preserve">HIDDEN from site. No public ramp could be confirmed to exist. Do you know it?</t>
  </si>
  <si>
    <t xml:space="preserve">Public concrete ramp at Sierra Point with direct access to open SF Bay and a 300-foot fishing p...</t>
  </si>
  <si>
    <t xml:space="preserve">Coyote Point Recreation Area</t>
  </si>
  <si>
    <t xml:space="preserve">San Mateo</t>
  </si>
  <si>
    <t xml:space="preserve">Three launch ramps for windsurfers, kiteboarders, and paddlers along 149 acres of Bay shoreline...</t>
  </si>
  <si>
    <t xml:space="preserve">Foster City Lagoons</t>
  </si>
  <si>
    <t xml:space="preserve">Calm, motor-free water with a 5-mph speed limit, very beginner-friendly. Launch from Leo J. Rya...</t>
  </si>
  <si>
    <t xml:space="preserve">Pacifica State Beach</t>
  </si>
  <si>
    <t xml:space="preserve">Pacifica</t>
  </si>
  <si>
    <t xml:space="preserve">Crescent surf beach at the mouth of San Pedro Valley off Highway 1, locally known as Linda Mar....</t>
  </si>
  <si>
    <t xml:space="preserve">Pillar Point Harbor</t>
  </si>
  <si>
    <t xml:space="preserve">Half Moon Bay</t>
  </si>
  <si>
    <t xml:space="preserve">Extensive breakwaters keep the harbor calm even when the open ocean is rough. Launch from the p...</t>
  </si>
  <si>
    <t xml:space="preserve">Redwood City - Chesapeake boat ramp</t>
  </si>
  <si>
    <t xml:space="preserve">Redwood City</t>
  </si>
  <si>
    <t xml:space="preserve">The Chesapeake Drive ramp at Redwood City Municipal Marina puts you on Redwood Creek with acces...</t>
  </si>
  <si>
    <t xml:space="preserve">Redwood Creek / Bair Island</t>
  </si>
  <si>
    <t xml:space="preserve">Tidal channels wind through 3,000 acres of salt marsh with dense wildlife: harbor seals in spri...</t>
  </si>
  <si>
    <t xml:space="preserve">Seal Point Park shoreline</t>
  </si>
  <si>
    <t xml:space="preserve">Former landfill peninsula with a dedicated kayak and windsurf launch next to Ryder Park. Open S...</t>
  </si>
  <si>
    <t xml:space="preserve">Westpoint Harbor</t>
  </si>
  <si>
    <t xml:space="preserve">Free public launch at the far left end of the private marina's parking lot. From here you can r...</t>
  </si>
  <si>
    <t xml:space="preserve">Black Miners Bar</t>
  </si>
  <si>
    <t xml:space="preserve">Folsom</t>
  </si>
  <si>
    <t xml:space="preserve">Sacramento</t>
  </si>
  <si>
    <t xml:space="preserve">Immediate access to the upper reservoir arms, where canyon walls keep wind modest. Arrive early...</t>
  </si>
  <si>
    <t xml:space="preserve">Brannan Island State Recreation Area</t>
  </si>
  <si>
    <t xml:space="preserve">A California state park on the tidal Delta near the Sacramento and San Joaquin confluence, with...</t>
  </si>
  <si>
    <t xml:space="preserve">Cosumnes River Preserve</t>
  </si>
  <si>
    <t xml:space="preserve">Galt</t>
  </si>
  <si>
    <t xml:space="preserve">Calm tidal sloughs and flatwater channels through a protected wetland known for abundant birdli...</t>
  </si>
  <si>
    <t xml:space="preserve">Discovery Park</t>
  </si>
  <si>
    <t xml:space="preserve">Where the American meets the Sacramento, with a six-lane boat ramp and access to two rivers. Th...</t>
  </si>
  <si>
    <t xml:space="preserve">Folsom Lake</t>
  </si>
  <si>
    <t xml:space="preserve">Near-duplicate of id 120 (same lake, different launches listed). Merge?</t>
  </si>
  <si>
    <t xml:space="preserve">Launch points at Peninsula Campground, Rattlesnake Bar, Granite Beach, Browns Ravine, and Beeks...</t>
  </si>
  <si>
    <t xml:space="preserve">Notes claim "Beals Point has a ramp" but DBW types it No Facility. Also near-duplicate of id 20.</t>
  </si>
  <si>
    <t xml:space="preserve">Large reservoir northeast of Sacramento with several launch points; Beals Point has a ramp, bea...</t>
  </si>
  <si>
    <t xml:space="preserve">Granite Beach</t>
  </si>
  <si>
    <t xml:space="preserve">Granite Bay</t>
  </si>
  <si>
    <t xml:space="preserve">The most popular beach access on Folsom Lake, with four concrete launch ramps and ample sandy s...</t>
  </si>
  <si>
    <t xml:space="preserve">Isleton Public Dock and Boat Ramp</t>
  </si>
  <si>
    <t xml:space="preserve">Isleton</t>
  </si>
  <si>
    <t xml:space="preserve">A small public launch on the tidal Sacramento River in the Delta town of Isleton, with a boat r...</t>
  </si>
  <si>
    <t xml:space="preserve">Nimbus Flat</t>
  </si>
  <si>
    <t xml:space="preserve">Rancho Cordova</t>
  </si>
  <si>
    <t xml:space="preserve">Nimbus Flat sits on Lake Natoma, the cool, calm reservoir below Folsom Dam, where a 5 mph motor...</t>
  </si>
  <si>
    <t xml:space="preserve">Walnut Grove Public Dock</t>
  </si>
  <si>
    <t xml:space="preserve">Walnut Grove</t>
  </si>
  <si>
    <t xml:space="preserve">A free public dock on the tidal Sacramento River in the small Delta town of Walnut Grove. There...</t>
  </si>
  <si>
    <t xml:space="preserve">Willow Creek Recreation Area - Lake Natoma</t>
  </si>
  <si>
    <t xml:space="preserve">Calm, wind-sheltered launch on the western end of non-motorized Lake Natoma, good for beginners...</t>
  </si>
  <si>
    <t xml:space="preserve">Aquatic Park Cove</t>
  </si>
  <si>
    <t xml:space="preserve">San Francisco</t>
  </si>
  <si>
    <t xml:space="preserve">Sheltered from Bay chop by Municipal Pier, the calmest open-water launch in SF. A natural start...</t>
  </si>
  <si>
    <t xml:space="preserve">Candlestick Point State Recreation Area</t>
  </si>
  <si>
    <t xml:space="preserve">California's first urban state park, launching from Jackrabbit Beach on the southeastern corner...</t>
  </si>
  <si>
    <t xml:space="preserve">Crane Cove Park (Dogpatch)</t>
  </si>
  <si>
    <t xml:space="preserve">Sheltered by the dry docks to the south and Pier 50 to the north, so it stays calmer than most ...</t>
  </si>
  <si>
    <t xml:space="preserve">Crissy Field East Beach</t>
  </si>
  <si>
    <t xml:space="preserve">Wide sandy beach in the Presidio launching straight onto the Bay. Wind and tide-driven currents...</t>
  </si>
  <si>
    <t xml:space="preserve">Islais Creek</t>
  </si>
  <si>
    <t xml:space="preserve">A protected-water landing on Islais Creek in San Francisco's southern industrial waterfront. La...</t>
  </si>
  <si>
    <t xml:space="preserve">Lake Merced</t>
  </si>
  <si>
    <t xml:space="preserve">Pin is ~1km off, on the wrong half of the lake. Repair ready.</t>
  </si>
  <si>
    <t xml:space="preserve">SF's largest freshwater lake, ringed by a 4.5-mile paved trail and free of tides and currents. ...</t>
  </si>
  <si>
    <t xml:space="preserve">Mission Creek / McCovey Cove</t>
  </si>
  <si>
    <t xml:space="preserve">Launch from the ADA-accessible floating dock at Mission Creek Park, 10-15 minutes from McCovey ...</t>
  </si>
  <si>
    <t xml:space="preserve">San Francisco Marina (Gashouse Cove)</t>
  </si>
  <si>
    <t xml:space="preserve">A scenic launch next to Marina Green and Crissy Field, near the Golden Gate, managed by SF Recr...</t>
  </si>
  <si>
    <t xml:space="preserve">Clementine Lake</t>
  </si>
  <si>
    <t xml:space="preserve">Auburn</t>
  </si>
  <si>
    <t xml:space="preserve">Sierra Nevada</t>
  </si>
  <si>
    <t xml:space="preserve">Splits into two sections. Upper Lake is paddle-craft only, no motors, open April through Octobe...</t>
  </si>
  <si>
    <t xml:space="preserve">Donner Lake</t>
  </si>
  <si>
    <t xml:space="preserve">Truckee</t>
  </si>
  <si>
    <t xml:space="preserve">Pin is ~3.8km off, wrong end of the lake. Repair ready. Also: is West End Beach the better SUP put-in?</t>
  </si>
  <si>
    <t xml:space="preserve">Crystal-clear alpine paddling just off I-80, ringed by granite peaks and pine. A public ramp on...</t>
  </si>
  <si>
    <t xml:space="preserve">Echo Lakes</t>
  </si>
  <si>
    <t xml:space="preserve">Echo Lake</t>
  </si>
  <si>
    <t xml:space="preserve">At 7,414 feet in El Dorado National Forest, gateway to Desolation Wilderness, with deep blue wa...</t>
  </si>
  <si>
    <t xml:space="preserve">Fallen Leaf Lake</t>
  </si>
  <si>
    <t xml:space="preserve">South Lake Tahoe</t>
  </si>
  <si>
    <t xml:space="preserve">Same blue water as Tahoe with far less boat traffic. Non-motorized launch fee is $5, and TRPA r...</t>
  </si>
  <si>
    <t xml:space="preserve">Huntington Lake</t>
  </si>
  <si>
    <t xml:space="preserve">Lakeshore</t>
  </si>
  <si>
    <t xml:space="preserve">A wind-swept alpine reservoir at 7,000 feet, prized by sailors and paddlers. Launch from the pu...</t>
  </si>
  <si>
    <t xml:space="preserve">Jenkinson Lake</t>
  </si>
  <si>
    <t xml:space="preserve">Pollock Pines</t>
  </si>
  <si>
    <t xml:space="preserve">Forested shores and calm water at Sly Park Recreation Area. Day-use entry is $13 per vehicle, $...</t>
  </si>
  <si>
    <t xml:space="preserve">Kings Beach</t>
  </si>
  <si>
    <t xml:space="preserve">Largest public sandy beach on Tahoe's north shore, 1,700 feet of lakefront. The Coon Street lau...</t>
  </si>
  <si>
    <t xml:space="preserve">Pinecrest Lake</t>
  </si>
  <si>
    <t xml:space="preserve">Pinecrest</t>
  </si>
  <si>
    <t xml:space="preserve">At 5,600 feet in Stanislaus National Forest, a compact 300-acre reservoir with a 20-mph boat sp...</t>
  </si>
  <si>
    <t xml:space="preserve">Rollins Lake</t>
  </si>
  <si>
    <t xml:space="preserve">Colfax</t>
  </si>
  <si>
    <t xml:space="preserve">Multiple coves and timber shoreline, with launch access at Orchard Springs, Greenhorn, and Long...</t>
  </si>
  <si>
    <t xml:space="preserve">Sand Harbor</t>
  </si>
  <si>
    <t xml:space="preserve">Lake Tahoe</t>
  </si>
  <si>
    <t xml:space="preserve">Clear water over granite boulders just south of Incline Village. Entry is by timed reservation ...</t>
  </si>
  <si>
    <t xml:space="preserve">Shaver Lake</t>
  </si>
  <si>
    <t xml:space="preserve">Lake at 5,370 feet in the Sierra National Forest, with access at the north-shore launch ramp an...</t>
  </si>
  <si>
    <t xml:space="preserve">Silver Lake</t>
  </si>
  <si>
    <t xml:space="preserve">Kit Carson</t>
  </si>
  <si>
    <t xml:space="preserve">Alpine lake at about 7,200 feet on Highway 88 in Amador County. Cold, clear water ringed by gra...</t>
  </si>
  <si>
    <t xml:space="preserve">Union Valley Reservoir</t>
  </si>
  <si>
    <t xml:space="preserve">Sprawling El Dorado National Forest lake via Ice House Road, with three free ramps at Sunset, Y...</t>
  </si>
  <si>
    <t xml:space="preserve">Waterman's Landing</t>
  </si>
  <si>
    <t xml:space="preserve">Carnelian Bay hub on the north shore: dog-friendly beach and a cafe serving breakfast and lunch...</t>
  </si>
  <si>
    <t xml:space="preserve">Alviso Marina / Alviso Slough</t>
  </si>
  <si>
    <t xml:space="preserve">Alviso</t>
  </si>
  <si>
    <t xml:space="preserve">South Bay</t>
  </si>
  <si>
    <t xml:space="preserve">tide_sensitive says false but the notes describe a 9-10ft range. Which is right?</t>
  </si>
  <si>
    <t xml:space="preserve">Launch from Alviso Marina into tidal sloughs. Tidal range runs 9-10 feet, so push off about an ...</t>
  </si>
  <si>
    <t xml:space="preserve">Calero County Park</t>
  </si>
  <si>
    <t xml:space="preserve">San Jose</t>
  </si>
  <si>
    <t xml:space="preserve">Tree-lined banks buffer the wind most days. Power boats allowed, so expect wake on busy afterno...</t>
  </si>
  <si>
    <t xml:space="preserve">Coyote Creek Tidal Launch</t>
  </si>
  <si>
    <t xml:space="preserve">Milpitas</t>
  </si>
  <si>
    <t xml:space="preserve">HIDDEN from site. No legal public launch found; may be a closed refuge. Do you know it?</t>
  </si>
  <si>
    <t xml:space="preserve">Baylands access off McCarthy Boulevard into tidal salt marsh connecting to Don Edwards Refuge a...</t>
  </si>
  <si>
    <t xml:space="preserve">Coyote Lake</t>
  </si>
  <si>
    <t xml:space="preserve">Gilroy</t>
  </si>
  <si>
    <t xml:space="preserve">Wide open reservoir with enough fetch to catch an afternoon breeze. Power boats share the water...</t>
  </si>
  <si>
    <t xml:space="preserve">Jarvis Landing / Newark Slough</t>
  </si>
  <si>
    <t xml:space="preserve">Newark</t>
  </si>
  <si>
    <t xml:space="preserve">A paved put-in inside Don Edwards National Wildlife Refuge, with up to 10 miles of protected sl...</t>
  </si>
  <si>
    <t xml:space="preserve">Lakeshore Park Lake</t>
  </si>
  <si>
    <t xml:space="preserve">A small neighborhood lake inside Lakeshore Park. A dock off Chelsea Drive serves as the put-in....</t>
  </si>
  <si>
    <t xml:space="preserve">Lexington Reservoir</t>
  </si>
  <si>
    <t xml:space="preserve">Los Gatos</t>
  </si>
  <si>
    <t xml:space="preserve">Glassy on calm mornings. Power boats banned, so conditions stay predictable.</t>
  </si>
  <si>
    <t xml:space="preserve">Palo Alto Baylands / Flood Basin</t>
  </si>
  <si>
    <t xml:space="preserve">Palo Alto</t>
  </si>
  <si>
    <t xml:space="preserve">Calm, traffic-free water across 2,000 acres of pickleweed marsh, good for building bay skills. ...</t>
  </si>
  <si>
    <t xml:space="preserve">Shoreline Lake</t>
  </si>
  <si>
    <t xml:space="preserve">Mountain View</t>
  </si>
  <si>
    <t xml:space="preserve">Power boats prohibited and PFDs required. Wind picks up mid-afternoon, so morning sessions are ...</t>
  </si>
  <si>
    <t xml:space="preserve">Stevens Creek Reservoir</t>
  </si>
  <si>
    <t xml:space="preserve">Cupertino</t>
  </si>
  <si>
    <t xml:space="preserve">Human-powered craft only, so the water stays flat and calm. Launch fee is $5 total ($3 launch, ...</t>
  </si>
  <si>
    <t xml:space="preserve">Vasona Lake County Park</t>
  </si>
  <si>
    <t xml:space="preserve">No outside watercraft allowed; you paddle the concessionaire's rentals.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</si>
</sst>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B2A47"/>
      <name val="Arial"/>
      <family val="0"/>
      <charset val="1"/>
    </font>
    <font>
      <sz val="10"/>
      <color rgb="FF1C1A17"/>
      <name val="Arial"/>
      <family val="0"/>
      <charset val="1"/>
    </font>
    <font>
      <i val="true"/>
      <sz val="10"/>
      <color rgb="FF1C1A1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B2A47"/>
      <name val="Arial"/>
      <family val="0"/>
      <charset val="1"/>
    </font>
    <font>
      <i val="true"/>
      <sz val="10"/>
      <color rgb="FF6E8598"/>
      <name val="Arial"/>
      <family val="0"/>
      <charset val="1"/>
    </font>
    <font>
      <sz val="9"/>
      <color rgb="FF1C1A17"/>
      <name val="Arial"/>
      <family val="0"/>
      <charset val="1"/>
    </font>
    <font>
      <b val="true"/>
      <sz val="10"/>
      <color rgb="FF0E6FD1"/>
      <name val="Arial"/>
      <family val="0"/>
      <charset val="1"/>
    </font>
    <font>
      <sz val="10"/>
      <name val="Arial"/>
      <family val="0"/>
      <charset val="1"/>
    </font>
    <font>
      <sz val="9"/>
      <color rgb="FF6E8598"/>
      <name val="Arial"/>
      <family val="0"/>
      <charset val="1"/>
    </font>
    <font>
      <sz val="9"/>
      <color rgb="FFCC5528"/>
      <name val="Arial"/>
      <family val="0"/>
      <charset val="1"/>
    </font>
    <font>
      <i val="true"/>
      <sz val="9"/>
      <color rgb="FF6E859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2A47"/>
        <bgColor rgb="FF1C1A17"/>
      </patternFill>
    </fill>
    <fill>
      <patternFill patternType="solid">
        <fgColor rgb="FFEEF5FB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EE9E0"/>
        <bgColor rgb="FFEEF5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E7F0"/>
      </left>
      <right style="thin">
        <color rgb="FFDCE7F0"/>
      </right>
      <top style="thin">
        <color rgb="FFDCE7F0"/>
      </top>
      <bottom style="thin">
        <color rgb="FFDCE7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B2A47"/>
          <bgColor rgb="FF000000"/>
        </patternFill>
      </fill>
    </dxf>
    <dxf>
      <fill>
        <patternFill patternType="solid">
          <fgColor rgb="FFEEF5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6E859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EE9E0"/>
          <bgColor rgb="FF000000"/>
        </patternFill>
      </fill>
    </dxf>
    <dxf>
      <fill>
        <patternFill patternType="solid">
          <fgColor rgb="FFCC552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E8598"/>
      <rgbColor rgb="FF9999FF"/>
      <rgbColor rgb="FF993366"/>
      <rgbColor rgb="FFFEE9E0"/>
      <rgbColor rgb="FFEEF5FB"/>
      <rgbColor rgb="FF660066"/>
      <rgbColor rgb="FFFF8080"/>
      <rgbColor rgb="FF0E6FD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7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C5528"/>
      <rgbColor rgb="FF666699"/>
      <rgbColor rgb="FF969696"/>
      <rgbColor rgb="FF0B2A47"/>
      <rgbColor rgb="FF339966"/>
      <rgbColor rgb="FF003300"/>
      <rgbColor rgb="FF1C1A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0"/>
    <col collapsed="false" customWidth="true" hidden="false" outlineLevel="0" max="3" min="3" style="1" width="16"/>
    <col collapsed="false" customWidth="true" hidden="false" outlineLevel="0" max="4" min="4" style="1" width="15"/>
    <col collapsed="false" customWidth="true" hidden="false" outlineLevel="0" max="5" min="5" style="1" width="11"/>
    <col collapsed="false" customWidth="true" hidden="false" outlineLevel="0" max="6" min="6" style="1" width="34"/>
    <col collapsed="false" customWidth="true" hidden="false" outlineLevel="0" max="7" min="7" style="1" width="40"/>
    <col collapsed="false" customWidth="true" hidden="false" outlineLevel="0" max="8" min="8" style="1" width="52"/>
    <col collapsed="false" customWidth="true" hidden="false" outlineLevel="0" max="9" min="9" style="1" width="2"/>
    <col collapsed="false" customWidth="true" hidden="false" outlineLevel="0" max="10" min="10" style="1" width="26"/>
    <col collapsed="false" customWidth="true" hidden="false" outlineLevel="0" max="11" min="11" style="1" width="9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4" customFormat="false" ht="15" hidden="false" customHeight="true" outlineLevel="0" collapsed="false">
      <c r="A4" s="3" t="s">
        <v>3</v>
      </c>
    </row>
    <row r="5" customFormat="false" ht="15" hidden="false" customHeight="true" outlineLevel="0" collapsed="false">
      <c r="A5" s="4" t="s">
        <v>4</v>
      </c>
    </row>
    <row r="6" customFormat="false" ht="15" hidden="false" customHeight="true" outlineLevel="0" collapsed="false">
      <c r="A6" s="3" t="s">
        <v>5</v>
      </c>
    </row>
    <row r="7" customFormat="false" ht="15" hidden="false" customHeight="true" outlineLevel="0" collapsed="false">
      <c r="A7" s="3" t="s">
        <v>6</v>
      </c>
    </row>
    <row r="9" customFormat="false" ht="30" hidden="false" customHeight="true" outlineLevel="0" collapsed="false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J9" s="6" t="s">
        <v>15</v>
      </c>
    </row>
    <row r="10" customFormat="false" ht="15" hidden="false" customHeight="true" outlineLevel="0" collapsed="false">
      <c r="A10" s="7" t="s">
        <v>16</v>
      </c>
      <c r="B10" s="7" t="s">
        <v>17</v>
      </c>
      <c r="C10" s="7" t="s">
        <v>18</v>
      </c>
      <c r="D10" s="7" t="s">
        <v>19</v>
      </c>
      <c r="E10" s="7" t="n">
        <v>4.5</v>
      </c>
      <c r="F10" s="7" t="s">
        <v>20</v>
      </c>
      <c r="G10" s="7"/>
      <c r="H10" s="7" t="s">
        <v>21</v>
      </c>
      <c r="J10" s="8" t="s">
        <v>22</v>
      </c>
      <c r="K10" s="9" t="n">
        <f aca="false">COUNT(E11:E152)</f>
        <v>0</v>
      </c>
    </row>
    <row r="11" customFormat="false" ht="21.75" hidden="false" customHeight="true" outlineLevel="0" collapsed="false">
      <c r="A11" s="10" t="n">
        <v>113</v>
      </c>
      <c r="B11" s="10" t="s">
        <v>23</v>
      </c>
      <c r="C11" s="10" t="s">
        <v>23</v>
      </c>
      <c r="D11" s="10" t="s">
        <v>24</v>
      </c>
      <c r="E11" s="11"/>
      <c r="F11" s="12"/>
      <c r="G11" s="13"/>
      <c r="H11" s="14" t="s">
        <v>25</v>
      </c>
      <c r="J11" s="8" t="s">
        <v>26</v>
      </c>
      <c r="K11" s="9" t="n">
        <f aca="false">COUNTA(A11:A152)</f>
        <v>142</v>
      </c>
    </row>
    <row r="12" customFormat="false" ht="21.75" hidden="false" customHeight="true" outlineLevel="0" collapsed="false">
      <c r="A12" s="10" t="n">
        <v>114</v>
      </c>
      <c r="B12" s="10" t="s">
        <v>27</v>
      </c>
      <c r="C12" s="10" t="s">
        <v>28</v>
      </c>
      <c r="D12" s="10" t="s">
        <v>24</v>
      </c>
      <c r="E12" s="11"/>
      <c r="F12" s="12"/>
      <c r="G12" s="13"/>
      <c r="H12" s="14" t="s">
        <v>29</v>
      </c>
      <c r="J12" s="8" t="s">
        <v>30</v>
      </c>
      <c r="K12" s="9" t="n">
        <f aca="false">K11-K10</f>
        <v>142</v>
      </c>
    </row>
    <row r="13" customFormat="false" ht="21.75" hidden="false" customHeight="true" outlineLevel="0" collapsed="false">
      <c r="A13" s="10" t="n">
        <v>72</v>
      </c>
      <c r="B13" s="10" t="s">
        <v>31</v>
      </c>
      <c r="C13" s="10" t="s">
        <v>32</v>
      </c>
      <c r="D13" s="10" t="s">
        <v>24</v>
      </c>
      <c r="E13" s="11"/>
      <c r="F13" s="12"/>
      <c r="G13" s="13"/>
      <c r="H13" s="14" t="s">
        <v>33</v>
      </c>
      <c r="J13" s="8" t="s">
        <v>34</v>
      </c>
      <c r="K13" s="9" t="str">
        <f aca="false">IF(COUNT(E11:E152)=0,"-",ROUND(AVERAGE(E11:E152),2))</f>
        <v>-</v>
      </c>
    </row>
    <row r="14" customFormat="false" ht="21.75" hidden="false" customHeight="true" outlineLevel="0" collapsed="false">
      <c r="A14" s="10" t="n">
        <v>112</v>
      </c>
      <c r="B14" s="10" t="s">
        <v>35</v>
      </c>
      <c r="C14" s="10" t="s">
        <v>35</v>
      </c>
      <c r="D14" s="10" t="s">
        <v>24</v>
      </c>
      <c r="E14" s="11"/>
      <c r="F14" s="12"/>
      <c r="G14" s="15" t="s">
        <v>36</v>
      </c>
      <c r="H14" s="14" t="s">
        <v>37</v>
      </c>
      <c r="J14" s="8" t="s">
        <v>38</v>
      </c>
      <c r="K14" s="9" t="str">
        <f aca="false">IF(COUNT(E11:E152)&lt;2,"-",ROUND(MAX(E11:E152)-MIN(E11:E152),2))</f>
        <v>-</v>
      </c>
    </row>
    <row r="15" customFormat="false" ht="21.75" hidden="false" customHeight="true" outlineLevel="0" collapsed="false">
      <c r="A15" s="10" t="n">
        <v>123</v>
      </c>
      <c r="B15" s="10" t="s">
        <v>39</v>
      </c>
      <c r="C15" s="10" t="s">
        <v>40</v>
      </c>
      <c r="D15" s="10" t="s">
        <v>24</v>
      </c>
      <c r="E15" s="11"/>
      <c r="F15" s="12"/>
      <c r="G15" s="13"/>
      <c r="H15" s="14" t="s">
        <v>41</v>
      </c>
      <c r="J15" s="16" t="s">
        <v>42</v>
      </c>
      <c r="K15" s="9"/>
    </row>
    <row r="16" customFormat="false" ht="21.75" hidden="false" customHeight="true" outlineLevel="0" collapsed="false">
      <c r="A16" s="10" t="n">
        <v>144</v>
      </c>
      <c r="B16" s="10" t="s">
        <v>43</v>
      </c>
      <c r="C16" s="10" t="s">
        <v>44</v>
      </c>
      <c r="D16" s="10" t="s">
        <v>45</v>
      </c>
      <c r="E16" s="11"/>
      <c r="F16" s="12"/>
      <c r="G16" s="13"/>
      <c r="H16" s="14" t="s">
        <v>46</v>
      </c>
      <c r="J16" s="16" t="s">
        <v>47</v>
      </c>
      <c r="K16" s="9"/>
    </row>
    <row r="17" customFormat="false" ht="21.75" hidden="false" customHeight="true" outlineLevel="0" collapsed="false">
      <c r="A17" s="10" t="n">
        <v>109</v>
      </c>
      <c r="B17" s="10" t="s">
        <v>48</v>
      </c>
      <c r="C17" s="10" t="s">
        <v>49</v>
      </c>
      <c r="D17" s="10" t="s">
        <v>45</v>
      </c>
      <c r="E17" s="11"/>
      <c r="F17" s="12"/>
      <c r="G17" s="13"/>
      <c r="H17" s="14" t="s">
        <v>50</v>
      </c>
      <c r="J17" s="16" t="s">
        <v>51</v>
      </c>
      <c r="K17" s="9"/>
    </row>
    <row r="18" customFormat="false" ht="21.75" hidden="false" customHeight="true" outlineLevel="0" collapsed="false">
      <c r="A18" s="10" t="n">
        <v>71</v>
      </c>
      <c r="B18" s="10" t="s">
        <v>52</v>
      </c>
      <c r="C18" s="10" t="s">
        <v>53</v>
      </c>
      <c r="D18" s="10" t="s">
        <v>45</v>
      </c>
      <c r="E18" s="11"/>
      <c r="F18" s="12"/>
      <c r="G18" s="13"/>
      <c r="H18" s="14" t="s">
        <v>54</v>
      </c>
    </row>
    <row r="19" customFormat="false" ht="21.75" hidden="false" customHeight="true" outlineLevel="0" collapsed="false">
      <c r="A19" s="10" t="n">
        <v>110</v>
      </c>
      <c r="B19" s="10" t="s">
        <v>55</v>
      </c>
      <c r="C19" s="10" t="s">
        <v>56</v>
      </c>
      <c r="D19" s="10" t="s">
        <v>45</v>
      </c>
      <c r="E19" s="11"/>
      <c r="F19" s="12"/>
      <c r="G19" s="13"/>
      <c r="H19" s="14" t="s">
        <v>57</v>
      </c>
    </row>
    <row r="20" customFormat="false" ht="21.75" hidden="false" customHeight="true" outlineLevel="0" collapsed="false">
      <c r="A20" s="10" t="n">
        <v>108</v>
      </c>
      <c r="B20" s="10" t="s">
        <v>58</v>
      </c>
      <c r="C20" s="10" t="s">
        <v>59</v>
      </c>
      <c r="D20" s="10" t="s">
        <v>45</v>
      </c>
      <c r="E20" s="11"/>
      <c r="F20" s="12"/>
      <c r="G20" s="13"/>
      <c r="H20" s="14" t="s">
        <v>60</v>
      </c>
    </row>
    <row r="21" customFormat="false" ht="21.75" hidden="false" customHeight="true" outlineLevel="0" collapsed="false">
      <c r="A21" s="10" t="n">
        <v>111</v>
      </c>
      <c r="B21" s="10" t="s">
        <v>61</v>
      </c>
      <c r="C21" s="10" t="s">
        <v>62</v>
      </c>
      <c r="D21" s="10" t="s">
        <v>45</v>
      </c>
      <c r="E21" s="11"/>
      <c r="F21" s="12"/>
      <c r="G21" s="13"/>
      <c r="H21" s="14" t="s">
        <v>63</v>
      </c>
    </row>
    <row r="22" customFormat="false" ht="21.75" hidden="false" customHeight="true" outlineLevel="0" collapsed="false">
      <c r="A22" s="10" t="n">
        <v>57</v>
      </c>
      <c r="B22" s="10" t="s">
        <v>64</v>
      </c>
      <c r="C22" s="10" t="s">
        <v>65</v>
      </c>
      <c r="D22" s="10" t="s">
        <v>19</v>
      </c>
      <c r="E22" s="11"/>
      <c r="F22" s="12"/>
      <c r="G22" s="13"/>
      <c r="H22" s="14" t="s">
        <v>66</v>
      </c>
    </row>
    <row r="23" customFormat="false" ht="21.75" hidden="false" customHeight="true" outlineLevel="0" collapsed="false">
      <c r="A23" s="10" t="n">
        <v>61</v>
      </c>
      <c r="B23" s="10" t="s">
        <v>67</v>
      </c>
      <c r="C23" s="10" t="s">
        <v>68</v>
      </c>
      <c r="D23" s="10" t="s">
        <v>19</v>
      </c>
      <c r="E23" s="11"/>
      <c r="F23" s="12"/>
      <c r="G23" s="13"/>
      <c r="H23" s="14" t="s">
        <v>69</v>
      </c>
    </row>
    <row r="24" customFormat="false" ht="21.75" hidden="false" customHeight="true" outlineLevel="0" collapsed="false">
      <c r="A24" s="10" t="n">
        <v>86</v>
      </c>
      <c r="B24" s="10" t="s">
        <v>70</v>
      </c>
      <c r="C24" s="10" t="s">
        <v>71</v>
      </c>
      <c r="D24" s="10" t="s">
        <v>19</v>
      </c>
      <c r="E24" s="11"/>
      <c r="F24" s="12"/>
      <c r="G24" s="13"/>
      <c r="H24" s="14" t="s">
        <v>72</v>
      </c>
    </row>
    <row r="25" customFormat="false" ht="21.75" hidden="false" customHeight="true" outlineLevel="0" collapsed="false">
      <c r="A25" s="10" t="n">
        <v>127</v>
      </c>
      <c r="B25" s="10" t="s">
        <v>73</v>
      </c>
      <c r="C25" s="10" t="s">
        <v>74</v>
      </c>
      <c r="D25" s="10" t="s">
        <v>19</v>
      </c>
      <c r="E25" s="11"/>
      <c r="F25" s="12"/>
      <c r="G25" s="13"/>
      <c r="H25" s="14" t="s">
        <v>75</v>
      </c>
    </row>
    <row r="26" customFormat="false" ht="21.75" hidden="false" customHeight="true" outlineLevel="0" collapsed="false">
      <c r="A26" s="10" t="n">
        <v>63</v>
      </c>
      <c r="B26" s="10" t="s">
        <v>76</v>
      </c>
      <c r="C26" s="10" t="s">
        <v>77</v>
      </c>
      <c r="D26" s="10" t="s">
        <v>19</v>
      </c>
      <c r="E26" s="11"/>
      <c r="F26" s="12"/>
      <c r="G26" s="15" t="s">
        <v>78</v>
      </c>
      <c r="H26" s="14" t="s">
        <v>79</v>
      </c>
    </row>
    <row r="27" customFormat="false" ht="21.75" hidden="false" customHeight="true" outlineLevel="0" collapsed="false">
      <c r="A27" s="10" t="n">
        <v>62</v>
      </c>
      <c r="B27" s="10" t="s">
        <v>80</v>
      </c>
      <c r="C27" s="10" t="s">
        <v>81</v>
      </c>
      <c r="D27" s="10" t="s">
        <v>19</v>
      </c>
      <c r="E27" s="11"/>
      <c r="F27" s="12"/>
      <c r="G27" s="13"/>
      <c r="H27" s="14" t="s">
        <v>82</v>
      </c>
    </row>
    <row r="28" customFormat="false" ht="21.75" hidden="false" customHeight="true" outlineLevel="0" collapsed="false">
      <c r="A28" s="10" t="n">
        <v>85</v>
      </c>
      <c r="B28" s="10" t="s">
        <v>83</v>
      </c>
      <c r="C28" s="10" t="s">
        <v>71</v>
      </c>
      <c r="D28" s="10" t="s">
        <v>19</v>
      </c>
      <c r="E28" s="11"/>
      <c r="F28" s="12"/>
      <c r="G28" s="13"/>
      <c r="H28" s="14" t="s">
        <v>84</v>
      </c>
    </row>
    <row r="29" customFormat="false" ht="21.75" hidden="false" customHeight="true" outlineLevel="0" collapsed="false">
      <c r="A29" s="10" t="n">
        <v>58</v>
      </c>
      <c r="B29" s="10" t="s">
        <v>85</v>
      </c>
      <c r="C29" s="10" t="s">
        <v>65</v>
      </c>
      <c r="D29" s="10" t="s">
        <v>19</v>
      </c>
      <c r="E29" s="11"/>
      <c r="F29" s="12"/>
      <c r="G29" s="13"/>
      <c r="H29" s="14" t="s">
        <v>86</v>
      </c>
    </row>
    <row r="30" customFormat="false" ht="21.75" hidden="false" customHeight="true" outlineLevel="0" collapsed="false">
      <c r="A30" s="10" t="n">
        <v>64</v>
      </c>
      <c r="B30" s="10" t="s">
        <v>87</v>
      </c>
      <c r="C30" s="10" t="s">
        <v>88</v>
      </c>
      <c r="D30" s="10" t="s">
        <v>19</v>
      </c>
      <c r="E30" s="11"/>
      <c r="F30" s="12"/>
      <c r="G30" s="13"/>
      <c r="H30" s="14" t="s">
        <v>89</v>
      </c>
    </row>
    <row r="31" customFormat="false" ht="21.75" hidden="false" customHeight="true" outlineLevel="0" collapsed="false">
      <c r="A31" s="10" t="n">
        <v>88</v>
      </c>
      <c r="B31" s="10" t="s">
        <v>90</v>
      </c>
      <c r="C31" s="10" t="s">
        <v>81</v>
      </c>
      <c r="D31" s="10" t="s">
        <v>19</v>
      </c>
      <c r="E31" s="11"/>
      <c r="F31" s="12"/>
      <c r="G31" s="15" t="s">
        <v>91</v>
      </c>
      <c r="H31" s="14" t="s">
        <v>92</v>
      </c>
    </row>
    <row r="32" customFormat="false" ht="21.75" hidden="false" customHeight="true" outlineLevel="0" collapsed="false">
      <c r="A32" s="10" t="n">
        <v>134</v>
      </c>
      <c r="B32" s="10" t="s">
        <v>93</v>
      </c>
      <c r="C32" s="10" t="s">
        <v>94</v>
      </c>
      <c r="D32" s="10" t="s">
        <v>19</v>
      </c>
      <c r="E32" s="11"/>
      <c r="F32" s="12"/>
      <c r="G32" s="13"/>
      <c r="H32" s="14" t="s">
        <v>95</v>
      </c>
    </row>
    <row r="33" customFormat="false" ht="21.75" hidden="false" customHeight="true" outlineLevel="0" collapsed="false">
      <c r="A33" s="10" t="n">
        <v>135</v>
      </c>
      <c r="B33" s="10" t="s">
        <v>96</v>
      </c>
      <c r="C33" s="10" t="s">
        <v>97</v>
      </c>
      <c r="D33" s="10" t="s">
        <v>19</v>
      </c>
      <c r="E33" s="11"/>
      <c r="F33" s="12"/>
      <c r="G33" s="15" t="s">
        <v>98</v>
      </c>
      <c r="H33" s="14" t="s">
        <v>99</v>
      </c>
    </row>
    <row r="34" customFormat="false" ht="21.75" hidden="false" customHeight="true" outlineLevel="0" collapsed="false">
      <c r="A34" s="10" t="n">
        <v>59</v>
      </c>
      <c r="B34" s="10" t="s">
        <v>100</v>
      </c>
      <c r="C34" s="10" t="s">
        <v>65</v>
      </c>
      <c r="D34" s="10" t="s">
        <v>19</v>
      </c>
      <c r="E34" s="11"/>
      <c r="F34" s="12"/>
      <c r="G34" s="13"/>
      <c r="H34" s="14" t="s">
        <v>101</v>
      </c>
    </row>
    <row r="35" customFormat="false" ht="21.75" hidden="false" customHeight="true" outlineLevel="0" collapsed="false">
      <c r="A35" s="10" t="n">
        <v>60</v>
      </c>
      <c r="B35" s="10" t="s">
        <v>102</v>
      </c>
      <c r="C35" s="10" t="s">
        <v>65</v>
      </c>
      <c r="D35" s="10" t="s">
        <v>19</v>
      </c>
      <c r="E35" s="11"/>
      <c r="F35" s="12"/>
      <c r="G35" s="13"/>
      <c r="H35" s="14" t="s">
        <v>103</v>
      </c>
    </row>
    <row r="36" customFormat="false" ht="21.75" hidden="false" customHeight="true" outlineLevel="0" collapsed="false">
      <c r="A36" s="10" t="n">
        <v>65</v>
      </c>
      <c r="B36" s="10" t="s">
        <v>104</v>
      </c>
      <c r="C36" s="10" t="s">
        <v>105</v>
      </c>
      <c r="D36" s="10" t="s">
        <v>19</v>
      </c>
      <c r="E36" s="11"/>
      <c r="F36" s="12"/>
      <c r="G36" s="13"/>
      <c r="H36" s="14" t="s">
        <v>106</v>
      </c>
    </row>
    <row r="37" customFormat="false" ht="21.75" hidden="false" customHeight="true" outlineLevel="0" collapsed="false">
      <c r="A37" s="10" t="n">
        <v>68</v>
      </c>
      <c r="B37" s="10" t="s">
        <v>107</v>
      </c>
      <c r="C37" s="10" t="s">
        <v>108</v>
      </c>
      <c r="D37" s="10" t="s">
        <v>19</v>
      </c>
      <c r="E37" s="11"/>
      <c r="F37" s="12"/>
      <c r="G37" s="13"/>
      <c r="H37" s="14" t="s">
        <v>109</v>
      </c>
    </row>
    <row r="38" customFormat="false" ht="21.75" hidden="false" customHeight="true" outlineLevel="0" collapsed="false">
      <c r="A38" s="10" t="n">
        <v>80</v>
      </c>
      <c r="B38" s="10" t="s">
        <v>110</v>
      </c>
      <c r="C38" s="10" t="s">
        <v>111</v>
      </c>
      <c r="D38" s="10" t="s">
        <v>19</v>
      </c>
      <c r="E38" s="11"/>
      <c r="F38" s="12"/>
      <c r="G38" s="13"/>
      <c r="H38" s="14" t="s">
        <v>112</v>
      </c>
    </row>
    <row r="39" customFormat="false" ht="21.75" hidden="false" customHeight="true" outlineLevel="0" collapsed="false">
      <c r="A39" s="10" t="n">
        <v>82</v>
      </c>
      <c r="B39" s="10" t="s">
        <v>113</v>
      </c>
      <c r="C39" s="10" t="s">
        <v>105</v>
      </c>
      <c r="D39" s="10" t="s">
        <v>19</v>
      </c>
      <c r="E39" s="11"/>
      <c r="F39" s="12"/>
      <c r="G39" s="13"/>
      <c r="H39" s="14" t="s">
        <v>114</v>
      </c>
    </row>
    <row r="40" customFormat="false" ht="21.75" hidden="false" customHeight="true" outlineLevel="0" collapsed="false">
      <c r="A40" s="10" t="n">
        <v>147</v>
      </c>
      <c r="B40" s="10" t="s">
        <v>115</v>
      </c>
      <c r="C40" s="10" t="s">
        <v>116</v>
      </c>
      <c r="D40" s="10" t="s">
        <v>19</v>
      </c>
      <c r="E40" s="11"/>
      <c r="F40" s="12"/>
      <c r="G40" s="13"/>
      <c r="H40" s="14" t="s">
        <v>117</v>
      </c>
    </row>
    <row r="41" customFormat="false" ht="21.75" hidden="false" customHeight="true" outlineLevel="0" collapsed="false">
      <c r="A41" s="10" t="n">
        <v>149</v>
      </c>
      <c r="B41" s="10" t="s">
        <v>118</v>
      </c>
      <c r="C41" s="10" t="s">
        <v>119</v>
      </c>
      <c r="D41" s="10" t="s">
        <v>19</v>
      </c>
      <c r="E41" s="11"/>
      <c r="F41" s="12"/>
      <c r="G41" s="13"/>
      <c r="H41" s="14" t="s">
        <v>120</v>
      </c>
    </row>
    <row r="42" customFormat="false" ht="21.75" hidden="false" customHeight="true" outlineLevel="0" collapsed="false">
      <c r="A42" s="10" t="n">
        <v>84</v>
      </c>
      <c r="B42" s="10" t="s">
        <v>121</v>
      </c>
      <c r="C42" s="10" t="s">
        <v>105</v>
      </c>
      <c r="D42" s="10" t="s">
        <v>19</v>
      </c>
      <c r="E42" s="11"/>
      <c r="F42" s="12"/>
      <c r="G42" s="15" t="s">
        <v>122</v>
      </c>
      <c r="H42" s="14" t="s">
        <v>123</v>
      </c>
    </row>
    <row r="43" customFormat="false" ht="21.75" hidden="false" customHeight="true" outlineLevel="0" collapsed="false">
      <c r="A43" s="10" t="n">
        <v>139</v>
      </c>
      <c r="B43" s="10" t="s">
        <v>124</v>
      </c>
      <c r="C43" s="10" t="s">
        <v>125</v>
      </c>
      <c r="D43" s="10" t="s">
        <v>19</v>
      </c>
      <c r="E43" s="11"/>
      <c r="F43" s="12"/>
      <c r="G43" s="13"/>
      <c r="H43" s="14" t="s">
        <v>126</v>
      </c>
    </row>
    <row r="44" customFormat="false" ht="21.75" hidden="false" customHeight="true" outlineLevel="0" collapsed="false">
      <c r="A44" s="10" t="n">
        <v>69</v>
      </c>
      <c r="B44" s="10" t="s">
        <v>127</v>
      </c>
      <c r="C44" s="10" t="s">
        <v>108</v>
      </c>
      <c r="D44" s="10" t="s">
        <v>19</v>
      </c>
      <c r="E44" s="11"/>
      <c r="F44" s="12"/>
      <c r="G44" s="13"/>
      <c r="H44" s="14" t="s">
        <v>128</v>
      </c>
    </row>
    <row r="45" customFormat="false" ht="21.75" hidden="false" customHeight="true" outlineLevel="0" collapsed="false">
      <c r="A45" s="10" t="n">
        <v>118</v>
      </c>
      <c r="B45" s="10" t="s">
        <v>129</v>
      </c>
      <c r="C45" s="10" t="s">
        <v>108</v>
      </c>
      <c r="D45" s="10" t="s">
        <v>19</v>
      </c>
      <c r="E45" s="11"/>
      <c r="F45" s="12"/>
      <c r="G45" s="13"/>
      <c r="H45" s="14" t="s">
        <v>130</v>
      </c>
    </row>
    <row r="46" customFormat="false" ht="21.75" hidden="false" customHeight="true" outlineLevel="0" collapsed="false">
      <c r="A46" s="10" t="n">
        <v>83</v>
      </c>
      <c r="B46" s="10" t="s">
        <v>131</v>
      </c>
      <c r="C46" s="10" t="s">
        <v>111</v>
      </c>
      <c r="D46" s="10" t="s">
        <v>19</v>
      </c>
      <c r="E46" s="11"/>
      <c r="F46" s="12"/>
      <c r="G46" s="13"/>
      <c r="H46" s="14" t="s">
        <v>132</v>
      </c>
    </row>
    <row r="47" customFormat="false" ht="21.75" hidden="false" customHeight="true" outlineLevel="0" collapsed="false">
      <c r="A47" s="10" t="n">
        <v>70</v>
      </c>
      <c r="B47" s="10" t="s">
        <v>133</v>
      </c>
      <c r="C47" s="10" t="s">
        <v>108</v>
      </c>
      <c r="D47" s="10" t="s">
        <v>19</v>
      </c>
      <c r="E47" s="11"/>
      <c r="F47" s="12"/>
      <c r="G47" s="13"/>
      <c r="H47" s="14" t="s">
        <v>134</v>
      </c>
    </row>
    <row r="48" customFormat="false" ht="21.75" hidden="false" customHeight="true" outlineLevel="0" collapsed="false">
      <c r="A48" s="10" t="n">
        <v>140</v>
      </c>
      <c r="B48" s="10" t="s">
        <v>135</v>
      </c>
      <c r="C48" s="10" t="s">
        <v>125</v>
      </c>
      <c r="D48" s="10" t="s">
        <v>19</v>
      </c>
      <c r="E48" s="11"/>
      <c r="F48" s="12"/>
      <c r="G48" s="13"/>
      <c r="H48" s="14" t="s">
        <v>136</v>
      </c>
    </row>
    <row r="49" customFormat="false" ht="21.75" hidden="false" customHeight="true" outlineLevel="0" collapsed="false">
      <c r="A49" s="10" t="n">
        <v>66</v>
      </c>
      <c r="B49" s="10" t="s">
        <v>137</v>
      </c>
      <c r="C49" s="10" t="s">
        <v>105</v>
      </c>
      <c r="D49" s="10" t="s">
        <v>19</v>
      </c>
      <c r="E49" s="11"/>
      <c r="F49" s="12"/>
      <c r="G49" s="13"/>
      <c r="H49" s="14" t="s">
        <v>138</v>
      </c>
    </row>
    <row r="50" customFormat="false" ht="21.75" hidden="false" customHeight="true" outlineLevel="0" collapsed="false">
      <c r="A50" s="10" t="n">
        <v>67</v>
      </c>
      <c r="B50" s="10" t="s">
        <v>139</v>
      </c>
      <c r="C50" s="10" t="s">
        <v>140</v>
      </c>
      <c r="D50" s="10" t="s">
        <v>19</v>
      </c>
      <c r="E50" s="11"/>
      <c r="F50" s="12"/>
      <c r="G50" s="13"/>
      <c r="H50" s="14" t="s">
        <v>141</v>
      </c>
    </row>
    <row r="51" customFormat="false" ht="21.75" hidden="false" customHeight="true" outlineLevel="0" collapsed="false">
      <c r="A51" s="10" t="n">
        <v>93</v>
      </c>
      <c r="B51" s="10" t="s">
        <v>142</v>
      </c>
      <c r="C51" s="10" t="s">
        <v>143</v>
      </c>
      <c r="D51" s="10" t="s">
        <v>144</v>
      </c>
      <c r="E51" s="11"/>
      <c r="F51" s="12"/>
      <c r="G51" s="13"/>
      <c r="H51" s="14" t="s">
        <v>145</v>
      </c>
    </row>
    <row r="52" customFormat="false" ht="21.75" hidden="false" customHeight="true" outlineLevel="0" collapsed="false">
      <c r="A52" s="10" t="n">
        <v>124</v>
      </c>
      <c r="B52" s="10" t="s">
        <v>146</v>
      </c>
      <c r="C52" s="10" t="s">
        <v>147</v>
      </c>
      <c r="D52" s="10" t="s">
        <v>144</v>
      </c>
      <c r="E52" s="11"/>
      <c r="F52" s="12"/>
      <c r="G52" s="13"/>
      <c r="H52" s="14" t="s">
        <v>148</v>
      </c>
    </row>
    <row r="53" customFormat="false" ht="21.75" hidden="false" customHeight="true" outlineLevel="0" collapsed="false">
      <c r="A53" s="10" t="n">
        <v>126</v>
      </c>
      <c r="B53" s="10" t="s">
        <v>149</v>
      </c>
      <c r="C53" s="10" t="s">
        <v>150</v>
      </c>
      <c r="D53" s="10" t="s">
        <v>144</v>
      </c>
      <c r="E53" s="11"/>
      <c r="F53" s="12"/>
      <c r="G53" s="13"/>
      <c r="H53" s="14" t="s">
        <v>151</v>
      </c>
    </row>
    <row r="54" customFormat="false" ht="21.75" hidden="false" customHeight="true" outlineLevel="0" collapsed="false">
      <c r="A54" s="10" t="n">
        <v>39</v>
      </c>
      <c r="B54" s="10" t="s">
        <v>152</v>
      </c>
      <c r="C54" s="10" t="s">
        <v>153</v>
      </c>
      <c r="D54" s="10" t="s">
        <v>144</v>
      </c>
      <c r="E54" s="11"/>
      <c r="F54" s="12"/>
      <c r="G54" s="13"/>
      <c r="H54" s="14" t="s">
        <v>154</v>
      </c>
    </row>
    <row r="55" customFormat="false" ht="21.75" hidden="false" customHeight="true" outlineLevel="0" collapsed="false">
      <c r="A55" s="10" t="n">
        <v>117</v>
      </c>
      <c r="B55" s="10" t="s">
        <v>155</v>
      </c>
      <c r="C55" s="10" t="s">
        <v>156</v>
      </c>
      <c r="D55" s="10" t="s">
        <v>144</v>
      </c>
      <c r="E55" s="11"/>
      <c r="F55" s="12"/>
      <c r="G55" s="13"/>
      <c r="H55" s="14" t="s">
        <v>157</v>
      </c>
    </row>
    <row r="56" customFormat="false" ht="21.75" hidden="false" customHeight="true" outlineLevel="0" collapsed="false">
      <c r="A56" s="10" t="n">
        <v>129</v>
      </c>
      <c r="B56" s="10" t="s">
        <v>158</v>
      </c>
      <c r="C56" s="10" t="s">
        <v>159</v>
      </c>
      <c r="D56" s="10" t="s">
        <v>144</v>
      </c>
      <c r="E56" s="11"/>
      <c r="F56" s="12"/>
      <c r="G56" s="13"/>
      <c r="H56" s="14" t="s">
        <v>160</v>
      </c>
    </row>
    <row r="57" customFormat="false" ht="21.75" hidden="false" customHeight="true" outlineLevel="0" collapsed="false">
      <c r="A57" s="10" t="n">
        <v>55</v>
      </c>
      <c r="B57" s="10" t="s">
        <v>161</v>
      </c>
      <c r="C57" s="10" t="s">
        <v>150</v>
      </c>
      <c r="D57" s="10" t="s">
        <v>144</v>
      </c>
      <c r="E57" s="11"/>
      <c r="F57" s="12"/>
      <c r="G57" s="13"/>
      <c r="H57" s="14" t="s">
        <v>162</v>
      </c>
    </row>
    <row r="58" customFormat="false" ht="21.75" hidden="false" customHeight="true" outlineLevel="0" collapsed="false">
      <c r="A58" s="10" t="n">
        <v>28</v>
      </c>
      <c r="B58" s="10" t="s">
        <v>163</v>
      </c>
      <c r="C58" s="10" t="s">
        <v>164</v>
      </c>
      <c r="D58" s="10" t="s">
        <v>144</v>
      </c>
      <c r="E58" s="11"/>
      <c r="F58" s="12"/>
      <c r="G58" s="13"/>
      <c r="H58" s="14" t="s">
        <v>165</v>
      </c>
    </row>
    <row r="59" customFormat="false" ht="21.75" hidden="false" customHeight="true" outlineLevel="0" collapsed="false">
      <c r="A59" s="10" t="n">
        <v>45</v>
      </c>
      <c r="B59" s="10" t="s">
        <v>166</v>
      </c>
      <c r="C59" s="10" t="s">
        <v>167</v>
      </c>
      <c r="D59" s="10" t="s">
        <v>144</v>
      </c>
      <c r="E59" s="11"/>
      <c r="F59" s="12"/>
      <c r="G59" s="15" t="s">
        <v>168</v>
      </c>
      <c r="H59" s="14" t="s">
        <v>169</v>
      </c>
    </row>
    <row r="60" customFormat="false" ht="21.75" hidden="false" customHeight="true" outlineLevel="0" collapsed="false">
      <c r="A60" s="10" t="n">
        <v>95</v>
      </c>
      <c r="B60" s="10" t="s">
        <v>170</v>
      </c>
      <c r="C60" s="10" t="s">
        <v>171</v>
      </c>
      <c r="D60" s="10" t="s">
        <v>144</v>
      </c>
      <c r="E60" s="11"/>
      <c r="F60" s="12"/>
      <c r="G60" s="13"/>
      <c r="H60" s="14" t="s">
        <v>172</v>
      </c>
    </row>
    <row r="61" customFormat="false" ht="21.75" hidden="false" customHeight="true" outlineLevel="0" collapsed="false">
      <c r="A61" s="10" t="n">
        <v>29</v>
      </c>
      <c r="B61" s="10" t="s">
        <v>173</v>
      </c>
      <c r="C61" s="10" t="s">
        <v>174</v>
      </c>
      <c r="D61" s="10" t="s">
        <v>144</v>
      </c>
      <c r="E61" s="11"/>
      <c r="F61" s="12"/>
      <c r="G61" s="13"/>
      <c r="H61" s="14" t="s">
        <v>175</v>
      </c>
    </row>
    <row r="62" customFormat="false" ht="21.75" hidden="false" customHeight="true" outlineLevel="0" collapsed="false">
      <c r="A62" s="10" t="n">
        <v>91</v>
      </c>
      <c r="B62" s="10" t="s">
        <v>176</v>
      </c>
      <c r="C62" s="10" t="s">
        <v>177</v>
      </c>
      <c r="D62" s="10" t="s">
        <v>144</v>
      </c>
      <c r="E62" s="11"/>
      <c r="F62" s="12"/>
      <c r="G62" s="13"/>
      <c r="H62" s="14" t="s">
        <v>178</v>
      </c>
    </row>
    <row r="63" customFormat="false" ht="21.75" hidden="false" customHeight="true" outlineLevel="0" collapsed="false">
      <c r="A63" s="10" t="n">
        <v>130</v>
      </c>
      <c r="B63" s="10" t="s">
        <v>179</v>
      </c>
      <c r="C63" s="10" t="s">
        <v>180</v>
      </c>
      <c r="D63" s="10" t="s">
        <v>144</v>
      </c>
      <c r="E63" s="11"/>
      <c r="F63" s="12"/>
      <c r="G63" s="13"/>
      <c r="H63" s="14" t="s">
        <v>181</v>
      </c>
    </row>
    <row r="64" customFormat="false" ht="21.75" hidden="false" customHeight="true" outlineLevel="0" collapsed="false">
      <c r="A64" s="10" t="n">
        <v>131</v>
      </c>
      <c r="B64" s="10" t="s">
        <v>182</v>
      </c>
      <c r="C64" s="10" t="s">
        <v>183</v>
      </c>
      <c r="D64" s="10" t="s">
        <v>144</v>
      </c>
      <c r="E64" s="11"/>
      <c r="F64" s="12"/>
      <c r="G64" s="13"/>
      <c r="H64" s="14" t="s">
        <v>184</v>
      </c>
    </row>
    <row r="65" customFormat="false" ht="21.75" hidden="false" customHeight="true" outlineLevel="0" collapsed="false">
      <c r="A65" s="10" t="n">
        <v>132</v>
      </c>
      <c r="B65" s="10" t="s">
        <v>185</v>
      </c>
      <c r="C65" s="10" t="s">
        <v>159</v>
      </c>
      <c r="D65" s="10" t="s">
        <v>144</v>
      </c>
      <c r="E65" s="11"/>
      <c r="F65" s="12"/>
      <c r="G65" s="13"/>
      <c r="H65" s="14" t="s">
        <v>186</v>
      </c>
    </row>
    <row r="66" customFormat="false" ht="21.75" hidden="false" customHeight="true" outlineLevel="0" collapsed="false">
      <c r="A66" s="10" t="n">
        <v>94</v>
      </c>
      <c r="B66" s="10" t="s">
        <v>187</v>
      </c>
      <c r="C66" s="10" t="s">
        <v>164</v>
      </c>
      <c r="D66" s="10" t="s">
        <v>144</v>
      </c>
      <c r="E66" s="11"/>
      <c r="F66" s="12"/>
      <c r="G66" s="13"/>
      <c r="H66" s="14" t="s">
        <v>188</v>
      </c>
    </row>
    <row r="67" customFormat="false" ht="21.75" hidden="false" customHeight="true" outlineLevel="0" collapsed="false">
      <c r="A67" s="10" t="n">
        <v>133</v>
      </c>
      <c r="B67" s="10" t="s">
        <v>189</v>
      </c>
      <c r="C67" s="10" t="s">
        <v>183</v>
      </c>
      <c r="D67" s="10" t="s">
        <v>144</v>
      </c>
      <c r="E67" s="11"/>
      <c r="F67" s="12"/>
      <c r="G67" s="13"/>
      <c r="H67" s="14" t="s">
        <v>190</v>
      </c>
    </row>
    <row r="68" customFormat="false" ht="21.75" hidden="false" customHeight="true" outlineLevel="0" collapsed="false">
      <c r="A68" s="10" t="n">
        <v>44</v>
      </c>
      <c r="B68" s="10" t="s">
        <v>191</v>
      </c>
      <c r="C68" s="10" t="s">
        <v>192</v>
      </c>
      <c r="D68" s="10" t="s">
        <v>144</v>
      </c>
      <c r="E68" s="11"/>
      <c r="F68" s="12"/>
      <c r="G68" s="13"/>
      <c r="H68" s="14" t="s">
        <v>193</v>
      </c>
    </row>
    <row r="69" customFormat="false" ht="21.75" hidden="false" customHeight="true" outlineLevel="0" collapsed="false">
      <c r="A69" s="10" t="n">
        <v>50</v>
      </c>
      <c r="B69" s="10" t="s">
        <v>194</v>
      </c>
      <c r="C69" s="10" t="s">
        <v>195</v>
      </c>
      <c r="D69" s="10" t="s">
        <v>144</v>
      </c>
      <c r="E69" s="11"/>
      <c r="F69" s="12"/>
      <c r="G69" s="13"/>
      <c r="H69" s="14" t="s">
        <v>196</v>
      </c>
    </row>
    <row r="70" customFormat="false" ht="21.75" hidden="false" customHeight="true" outlineLevel="0" collapsed="false">
      <c r="A70" s="10" t="n">
        <v>46</v>
      </c>
      <c r="B70" s="10" t="s">
        <v>197</v>
      </c>
      <c r="C70" s="10" t="s">
        <v>167</v>
      </c>
      <c r="D70" s="10" t="s">
        <v>144</v>
      </c>
      <c r="E70" s="11"/>
      <c r="F70" s="12"/>
      <c r="G70" s="13"/>
      <c r="H70" s="14" t="s">
        <v>198</v>
      </c>
    </row>
    <row r="71" customFormat="false" ht="21.75" hidden="false" customHeight="true" outlineLevel="0" collapsed="false">
      <c r="A71" s="10" t="n">
        <v>34</v>
      </c>
      <c r="B71" s="10" t="s">
        <v>199</v>
      </c>
      <c r="C71" s="10" t="s">
        <v>200</v>
      </c>
      <c r="D71" s="10" t="s">
        <v>144</v>
      </c>
      <c r="E71" s="11"/>
      <c r="F71" s="12"/>
      <c r="G71" s="13"/>
      <c r="H71" s="14" t="s">
        <v>201</v>
      </c>
    </row>
    <row r="72" customFormat="false" ht="21.75" hidden="false" customHeight="true" outlineLevel="0" collapsed="false">
      <c r="A72" s="10" t="n">
        <v>36</v>
      </c>
      <c r="B72" s="10" t="s">
        <v>202</v>
      </c>
      <c r="C72" s="10" t="s">
        <v>143</v>
      </c>
      <c r="D72" s="10" t="s">
        <v>144</v>
      </c>
      <c r="E72" s="11"/>
      <c r="F72" s="12"/>
      <c r="G72" s="13"/>
      <c r="H72" s="14" t="s">
        <v>203</v>
      </c>
    </row>
    <row r="73" customFormat="false" ht="21.75" hidden="false" customHeight="true" outlineLevel="0" collapsed="false">
      <c r="A73" s="10" t="n">
        <v>51</v>
      </c>
      <c r="B73" s="10" t="s">
        <v>204</v>
      </c>
      <c r="C73" s="10" t="s">
        <v>195</v>
      </c>
      <c r="D73" s="10" t="s">
        <v>144</v>
      </c>
      <c r="E73" s="11"/>
      <c r="F73" s="12"/>
      <c r="G73" s="13"/>
      <c r="H73" s="14" t="s">
        <v>205</v>
      </c>
    </row>
    <row r="74" customFormat="false" ht="21.75" hidden="false" customHeight="true" outlineLevel="0" collapsed="false">
      <c r="A74" s="10" t="n">
        <v>37</v>
      </c>
      <c r="B74" s="10" t="s">
        <v>206</v>
      </c>
      <c r="C74" s="10" t="s">
        <v>206</v>
      </c>
      <c r="D74" s="10" t="s">
        <v>144</v>
      </c>
      <c r="E74" s="11"/>
      <c r="F74" s="12"/>
      <c r="G74" s="13"/>
      <c r="H74" s="14" t="s">
        <v>207</v>
      </c>
    </row>
    <row r="75" customFormat="false" ht="21.75" hidden="false" customHeight="true" outlineLevel="0" collapsed="false">
      <c r="A75" s="10" t="n">
        <v>125</v>
      </c>
      <c r="B75" s="10" t="s">
        <v>208</v>
      </c>
      <c r="C75" s="10" t="s">
        <v>209</v>
      </c>
      <c r="D75" s="10" t="s">
        <v>144</v>
      </c>
      <c r="E75" s="11"/>
      <c r="F75" s="12"/>
      <c r="G75" s="13"/>
      <c r="H75" s="14" t="s">
        <v>210</v>
      </c>
    </row>
    <row r="76" customFormat="false" ht="21.75" hidden="false" customHeight="true" outlineLevel="0" collapsed="false">
      <c r="A76" s="10" t="n">
        <v>32</v>
      </c>
      <c r="B76" s="10" t="s">
        <v>211</v>
      </c>
      <c r="C76" s="10" t="s">
        <v>212</v>
      </c>
      <c r="D76" s="10" t="s">
        <v>144</v>
      </c>
      <c r="E76" s="11"/>
      <c r="F76" s="12"/>
      <c r="G76" s="13"/>
      <c r="H76" s="14" t="s">
        <v>213</v>
      </c>
    </row>
    <row r="77" customFormat="false" ht="21.75" hidden="false" customHeight="true" outlineLevel="0" collapsed="false">
      <c r="A77" s="10" t="n">
        <v>122</v>
      </c>
      <c r="B77" s="10" t="s">
        <v>214</v>
      </c>
      <c r="C77" s="10" t="s">
        <v>200</v>
      </c>
      <c r="D77" s="10" t="s">
        <v>144</v>
      </c>
      <c r="E77" s="11"/>
      <c r="F77" s="12"/>
      <c r="G77" s="13"/>
      <c r="H77" s="14" t="s">
        <v>215</v>
      </c>
    </row>
    <row r="78" customFormat="false" ht="21.75" hidden="false" customHeight="true" outlineLevel="0" collapsed="false">
      <c r="A78" s="10" t="n">
        <v>73</v>
      </c>
      <c r="B78" s="10" t="s">
        <v>216</v>
      </c>
      <c r="C78" s="10" t="s">
        <v>167</v>
      </c>
      <c r="D78" s="10" t="s">
        <v>144</v>
      </c>
      <c r="E78" s="11"/>
      <c r="F78" s="12"/>
      <c r="G78" s="13"/>
      <c r="H78" s="14" t="s">
        <v>217</v>
      </c>
    </row>
    <row r="79" customFormat="false" ht="21.75" hidden="false" customHeight="true" outlineLevel="0" collapsed="false">
      <c r="A79" s="10" t="n">
        <v>47</v>
      </c>
      <c r="B79" s="10" t="s">
        <v>218</v>
      </c>
      <c r="C79" s="10" t="s">
        <v>167</v>
      </c>
      <c r="D79" s="10" t="s">
        <v>144</v>
      </c>
      <c r="E79" s="11"/>
      <c r="F79" s="12"/>
      <c r="G79" s="13"/>
      <c r="H79" s="14" t="s">
        <v>219</v>
      </c>
    </row>
    <row r="80" customFormat="false" ht="21.75" hidden="false" customHeight="true" outlineLevel="0" collapsed="false">
      <c r="A80" s="10" t="n">
        <v>38</v>
      </c>
      <c r="B80" s="10" t="s">
        <v>220</v>
      </c>
      <c r="C80" s="10" t="s">
        <v>221</v>
      </c>
      <c r="D80" s="10" t="s">
        <v>144</v>
      </c>
      <c r="E80" s="11"/>
      <c r="F80" s="12"/>
      <c r="G80" s="13"/>
      <c r="H80" s="14" t="s">
        <v>222</v>
      </c>
    </row>
    <row r="81" customFormat="false" ht="21.75" hidden="false" customHeight="true" outlineLevel="0" collapsed="false">
      <c r="A81" s="10" t="n">
        <v>40</v>
      </c>
      <c r="B81" s="10" t="s">
        <v>223</v>
      </c>
      <c r="C81" s="10" t="s">
        <v>183</v>
      </c>
      <c r="D81" s="10" t="s">
        <v>144</v>
      </c>
      <c r="E81" s="11"/>
      <c r="F81" s="12"/>
      <c r="G81" s="13"/>
      <c r="H81" s="14" t="s">
        <v>224</v>
      </c>
    </row>
    <row r="82" customFormat="false" ht="21.75" hidden="false" customHeight="true" outlineLevel="0" collapsed="false">
      <c r="A82" s="10" t="n">
        <v>41</v>
      </c>
      <c r="B82" s="10" t="s">
        <v>225</v>
      </c>
      <c r="C82" s="10" t="s">
        <v>159</v>
      </c>
      <c r="D82" s="10" t="s">
        <v>144</v>
      </c>
      <c r="E82" s="11"/>
      <c r="F82" s="12"/>
      <c r="G82" s="13"/>
      <c r="H82" s="14" t="s">
        <v>226</v>
      </c>
    </row>
    <row r="83" customFormat="false" ht="21.75" hidden="false" customHeight="true" outlineLevel="0" collapsed="false">
      <c r="A83" s="10" t="n">
        <v>89</v>
      </c>
      <c r="B83" s="10" t="s">
        <v>227</v>
      </c>
      <c r="C83" s="10" t="s">
        <v>150</v>
      </c>
      <c r="D83" s="10" t="s">
        <v>144</v>
      </c>
      <c r="E83" s="11"/>
      <c r="F83" s="12"/>
      <c r="G83" s="13"/>
      <c r="H83" s="14" t="s">
        <v>228</v>
      </c>
    </row>
    <row r="84" customFormat="false" ht="21.75" hidden="false" customHeight="true" outlineLevel="0" collapsed="false">
      <c r="A84" s="10" t="n">
        <v>137</v>
      </c>
      <c r="B84" s="10" t="s">
        <v>229</v>
      </c>
      <c r="C84" s="10" t="s">
        <v>230</v>
      </c>
      <c r="D84" s="10" t="s">
        <v>144</v>
      </c>
      <c r="E84" s="11"/>
      <c r="F84" s="12"/>
      <c r="G84" s="13"/>
      <c r="H84" s="14" t="s">
        <v>231</v>
      </c>
    </row>
    <row r="85" customFormat="false" ht="21.75" hidden="false" customHeight="true" outlineLevel="0" collapsed="false">
      <c r="A85" s="10" t="n">
        <v>43</v>
      </c>
      <c r="B85" s="10" t="s">
        <v>232</v>
      </c>
      <c r="C85" s="10" t="s">
        <v>230</v>
      </c>
      <c r="D85" s="10" t="s">
        <v>144</v>
      </c>
      <c r="E85" s="11"/>
      <c r="F85" s="12"/>
      <c r="G85" s="13"/>
      <c r="H85" s="14" t="s">
        <v>233</v>
      </c>
    </row>
    <row r="86" customFormat="false" ht="21.75" hidden="false" customHeight="true" outlineLevel="0" collapsed="false">
      <c r="A86" s="10" t="n">
        <v>138</v>
      </c>
      <c r="B86" s="10" t="s">
        <v>234</v>
      </c>
      <c r="C86" s="10" t="s">
        <v>230</v>
      </c>
      <c r="D86" s="10" t="s">
        <v>144</v>
      </c>
      <c r="E86" s="11"/>
      <c r="F86" s="12"/>
      <c r="G86" s="13"/>
      <c r="H86" s="14" t="s">
        <v>235</v>
      </c>
    </row>
    <row r="87" customFormat="false" ht="21.75" hidden="false" customHeight="true" outlineLevel="0" collapsed="false">
      <c r="A87" s="10" t="n">
        <v>54</v>
      </c>
      <c r="B87" s="10" t="s">
        <v>236</v>
      </c>
      <c r="C87" s="10" t="s">
        <v>237</v>
      </c>
      <c r="D87" s="10" t="s">
        <v>144</v>
      </c>
      <c r="E87" s="11"/>
      <c r="F87" s="12"/>
      <c r="G87" s="13"/>
      <c r="H87" s="14" t="s">
        <v>238</v>
      </c>
    </row>
    <row r="88" customFormat="false" ht="21.75" hidden="false" customHeight="true" outlineLevel="0" collapsed="false">
      <c r="A88" s="10" t="n">
        <v>33</v>
      </c>
      <c r="B88" s="10" t="s">
        <v>239</v>
      </c>
      <c r="C88" s="10" t="s">
        <v>240</v>
      </c>
      <c r="D88" s="10" t="s">
        <v>144</v>
      </c>
      <c r="E88" s="11"/>
      <c r="F88" s="12"/>
      <c r="G88" s="13"/>
      <c r="H88" s="14" t="s">
        <v>241</v>
      </c>
    </row>
    <row r="89" customFormat="false" ht="21.75" hidden="false" customHeight="true" outlineLevel="0" collapsed="false">
      <c r="A89" s="10" t="n">
        <v>30</v>
      </c>
      <c r="B89" s="10" t="s">
        <v>242</v>
      </c>
      <c r="C89" s="10" t="s">
        <v>243</v>
      </c>
      <c r="D89" s="10" t="s">
        <v>144</v>
      </c>
      <c r="E89" s="11"/>
      <c r="F89" s="12"/>
      <c r="G89" s="13"/>
      <c r="H89" s="14" t="s">
        <v>244</v>
      </c>
    </row>
    <row r="90" customFormat="false" ht="21.75" hidden="false" customHeight="true" outlineLevel="0" collapsed="false">
      <c r="A90" s="10" t="n">
        <v>31</v>
      </c>
      <c r="B90" s="10" t="s">
        <v>245</v>
      </c>
      <c r="C90" s="10" t="s">
        <v>243</v>
      </c>
      <c r="D90" s="10" t="s">
        <v>144</v>
      </c>
      <c r="E90" s="11"/>
      <c r="F90" s="12"/>
      <c r="G90" s="13"/>
      <c r="H90" s="14" t="s">
        <v>246</v>
      </c>
    </row>
    <row r="91" customFormat="false" ht="21.75" hidden="false" customHeight="true" outlineLevel="0" collapsed="false">
      <c r="A91" s="10" t="n">
        <v>35</v>
      </c>
      <c r="B91" s="10" t="s">
        <v>247</v>
      </c>
      <c r="C91" s="10" t="s">
        <v>200</v>
      </c>
      <c r="D91" s="10" t="s">
        <v>144</v>
      </c>
      <c r="E91" s="11"/>
      <c r="F91" s="12"/>
      <c r="G91" s="13"/>
      <c r="H91" s="14" t="s">
        <v>248</v>
      </c>
    </row>
    <row r="92" customFormat="false" ht="21.75" hidden="false" customHeight="true" outlineLevel="0" collapsed="false">
      <c r="A92" s="10" t="n">
        <v>92</v>
      </c>
      <c r="B92" s="10" t="s">
        <v>249</v>
      </c>
      <c r="C92" s="10" t="s">
        <v>167</v>
      </c>
      <c r="D92" s="10" t="s">
        <v>144</v>
      </c>
      <c r="E92" s="11"/>
      <c r="F92" s="12"/>
      <c r="G92" s="13"/>
      <c r="H92" s="14" t="s">
        <v>250</v>
      </c>
    </row>
    <row r="93" customFormat="false" ht="21.75" hidden="false" customHeight="true" outlineLevel="0" collapsed="false">
      <c r="A93" s="10" t="n">
        <v>48</v>
      </c>
      <c r="B93" s="10" t="s">
        <v>251</v>
      </c>
      <c r="C93" s="10" t="s">
        <v>252</v>
      </c>
      <c r="D93" s="10" t="s">
        <v>144</v>
      </c>
      <c r="E93" s="11"/>
      <c r="F93" s="12"/>
      <c r="G93" s="13"/>
      <c r="H93" s="14" t="s">
        <v>253</v>
      </c>
    </row>
    <row r="94" customFormat="false" ht="21.75" hidden="false" customHeight="true" outlineLevel="0" collapsed="false">
      <c r="A94" s="10" t="n">
        <v>53</v>
      </c>
      <c r="B94" s="10" t="s">
        <v>254</v>
      </c>
      <c r="C94" s="10" t="s">
        <v>195</v>
      </c>
      <c r="D94" s="10" t="s">
        <v>144</v>
      </c>
      <c r="E94" s="11"/>
      <c r="F94" s="12"/>
      <c r="G94" s="13"/>
      <c r="H94" s="14" t="s">
        <v>255</v>
      </c>
    </row>
    <row r="95" customFormat="false" ht="21.75" hidden="false" customHeight="true" outlineLevel="0" collapsed="false">
      <c r="A95" s="10" t="n">
        <v>49</v>
      </c>
      <c r="B95" s="10" t="s">
        <v>256</v>
      </c>
      <c r="C95" s="10" t="s">
        <v>252</v>
      </c>
      <c r="D95" s="10" t="s">
        <v>144</v>
      </c>
      <c r="E95" s="11"/>
      <c r="F95" s="12"/>
      <c r="G95" s="13"/>
      <c r="H95" s="14" t="s">
        <v>257</v>
      </c>
    </row>
    <row r="96" customFormat="false" ht="21.75" hidden="false" customHeight="true" outlineLevel="0" collapsed="false">
      <c r="A96" s="10" t="n">
        <v>56</v>
      </c>
      <c r="B96" s="10" t="s">
        <v>258</v>
      </c>
      <c r="C96" s="10" t="s">
        <v>153</v>
      </c>
      <c r="D96" s="10" t="s">
        <v>144</v>
      </c>
      <c r="E96" s="11"/>
      <c r="F96" s="12"/>
      <c r="G96" s="13"/>
      <c r="H96" s="14" t="s">
        <v>259</v>
      </c>
    </row>
    <row r="97" customFormat="false" ht="21.75" hidden="false" customHeight="true" outlineLevel="0" collapsed="false">
      <c r="A97" s="10" t="n">
        <v>116</v>
      </c>
      <c r="B97" s="10" t="s">
        <v>260</v>
      </c>
      <c r="C97" s="10" t="s">
        <v>156</v>
      </c>
      <c r="D97" s="10" t="s">
        <v>144</v>
      </c>
      <c r="E97" s="11"/>
      <c r="F97" s="12"/>
      <c r="G97" s="13"/>
      <c r="H97" s="14" t="s">
        <v>261</v>
      </c>
    </row>
    <row r="98" customFormat="false" ht="21.75" hidden="false" customHeight="true" outlineLevel="0" collapsed="false">
      <c r="A98" s="10" t="n">
        <v>52</v>
      </c>
      <c r="B98" s="10" t="s">
        <v>262</v>
      </c>
      <c r="C98" s="10" t="s">
        <v>195</v>
      </c>
      <c r="D98" s="10" t="s">
        <v>144</v>
      </c>
      <c r="E98" s="11"/>
      <c r="F98" s="12"/>
      <c r="G98" s="13"/>
      <c r="H98" s="14" t="s">
        <v>263</v>
      </c>
    </row>
    <row r="99" customFormat="false" ht="21.75" hidden="false" customHeight="true" outlineLevel="0" collapsed="false">
      <c r="A99" s="10" t="n">
        <v>128</v>
      </c>
      <c r="B99" s="10" t="s">
        <v>264</v>
      </c>
      <c r="C99" s="10" t="s">
        <v>265</v>
      </c>
      <c r="D99" s="10" t="s">
        <v>266</v>
      </c>
      <c r="E99" s="11"/>
      <c r="F99" s="12"/>
      <c r="G99" s="13"/>
      <c r="H99" s="14" t="s">
        <v>267</v>
      </c>
    </row>
    <row r="100" customFormat="false" ht="21.75" hidden="false" customHeight="true" outlineLevel="0" collapsed="false">
      <c r="A100" s="10" t="n">
        <v>76</v>
      </c>
      <c r="B100" s="10" t="s">
        <v>268</v>
      </c>
      <c r="C100" s="10" t="s">
        <v>269</v>
      </c>
      <c r="D100" s="10" t="s">
        <v>266</v>
      </c>
      <c r="E100" s="11"/>
      <c r="F100" s="12"/>
      <c r="G100" s="15" t="s">
        <v>270</v>
      </c>
      <c r="H100" s="14" t="s">
        <v>271</v>
      </c>
    </row>
    <row r="101" customFormat="false" ht="21.75" hidden="false" customHeight="true" outlineLevel="0" collapsed="false">
      <c r="A101" s="10" t="n">
        <v>74</v>
      </c>
      <c r="B101" s="10" t="s">
        <v>272</v>
      </c>
      <c r="C101" s="10" t="s">
        <v>273</v>
      </c>
      <c r="D101" s="10" t="s">
        <v>266</v>
      </c>
      <c r="E101" s="11"/>
      <c r="F101" s="12"/>
      <c r="G101" s="13"/>
      <c r="H101" s="14" t="s">
        <v>274</v>
      </c>
    </row>
    <row r="102" customFormat="false" ht="21.75" hidden="false" customHeight="true" outlineLevel="0" collapsed="false">
      <c r="A102" s="10" t="n">
        <v>22</v>
      </c>
      <c r="B102" s="10" t="s">
        <v>275</v>
      </c>
      <c r="C102" s="10" t="s">
        <v>265</v>
      </c>
      <c r="D102" s="10" t="s">
        <v>266</v>
      </c>
      <c r="E102" s="11"/>
      <c r="F102" s="12"/>
      <c r="G102" s="13"/>
      <c r="H102" s="14" t="s">
        <v>276</v>
      </c>
    </row>
    <row r="103" customFormat="false" ht="21.75" hidden="false" customHeight="true" outlineLevel="0" collapsed="false">
      <c r="A103" s="10" t="n">
        <v>75</v>
      </c>
      <c r="B103" s="10" t="s">
        <v>277</v>
      </c>
      <c r="C103" s="10" t="s">
        <v>278</v>
      </c>
      <c r="D103" s="10" t="s">
        <v>266</v>
      </c>
      <c r="E103" s="11"/>
      <c r="F103" s="12"/>
      <c r="G103" s="13"/>
      <c r="H103" s="14" t="s">
        <v>279</v>
      </c>
    </row>
    <row r="104" customFormat="false" ht="21.75" hidden="false" customHeight="true" outlineLevel="0" collapsed="false">
      <c r="A104" s="10" t="n">
        <v>23</v>
      </c>
      <c r="B104" s="10" t="s">
        <v>280</v>
      </c>
      <c r="C104" s="10" t="s">
        <v>281</v>
      </c>
      <c r="D104" s="10" t="s">
        <v>266</v>
      </c>
      <c r="E104" s="11"/>
      <c r="F104" s="12"/>
      <c r="G104" s="13"/>
      <c r="H104" s="14" t="s">
        <v>282</v>
      </c>
    </row>
    <row r="105" customFormat="false" ht="21.75" hidden="false" customHeight="true" outlineLevel="0" collapsed="false">
      <c r="A105" s="10" t="n">
        <v>24</v>
      </c>
      <c r="B105" s="10" t="s">
        <v>283</v>
      </c>
      <c r="C105" s="10" t="s">
        <v>284</v>
      </c>
      <c r="D105" s="10" t="s">
        <v>266</v>
      </c>
      <c r="E105" s="11"/>
      <c r="F105" s="12"/>
      <c r="G105" s="13"/>
      <c r="H105" s="14" t="s">
        <v>285</v>
      </c>
    </row>
    <row r="106" customFormat="false" ht="21.75" hidden="false" customHeight="true" outlineLevel="0" collapsed="false">
      <c r="A106" s="10" t="n">
        <v>25</v>
      </c>
      <c r="B106" s="10" t="s">
        <v>286</v>
      </c>
      <c r="C106" s="10" t="s">
        <v>284</v>
      </c>
      <c r="D106" s="10" t="s">
        <v>266</v>
      </c>
      <c r="E106" s="11"/>
      <c r="F106" s="12"/>
      <c r="G106" s="13"/>
      <c r="H106" s="14" t="s">
        <v>287</v>
      </c>
    </row>
    <row r="107" customFormat="false" ht="21.75" hidden="false" customHeight="true" outlineLevel="0" collapsed="false">
      <c r="A107" s="10" t="n">
        <v>27</v>
      </c>
      <c r="B107" s="10" t="s">
        <v>288</v>
      </c>
      <c r="C107" s="10" t="s">
        <v>273</v>
      </c>
      <c r="D107" s="10" t="s">
        <v>266</v>
      </c>
      <c r="E107" s="11"/>
      <c r="F107" s="12"/>
      <c r="G107" s="13"/>
      <c r="H107" s="14" t="s">
        <v>289</v>
      </c>
    </row>
    <row r="108" customFormat="false" ht="21.75" hidden="false" customHeight="true" outlineLevel="0" collapsed="false">
      <c r="A108" s="10" t="n">
        <v>26</v>
      </c>
      <c r="B108" s="10" t="s">
        <v>290</v>
      </c>
      <c r="C108" s="10" t="s">
        <v>284</v>
      </c>
      <c r="D108" s="10" t="s">
        <v>266</v>
      </c>
      <c r="E108" s="11"/>
      <c r="F108" s="12"/>
      <c r="G108" s="13"/>
      <c r="H108" s="14" t="s">
        <v>291</v>
      </c>
    </row>
    <row r="109" customFormat="false" ht="21.75" hidden="false" customHeight="true" outlineLevel="0" collapsed="false">
      <c r="A109" s="10" t="n">
        <v>19</v>
      </c>
      <c r="B109" s="10" t="s">
        <v>292</v>
      </c>
      <c r="C109" s="10" t="s">
        <v>293</v>
      </c>
      <c r="D109" s="10" t="s">
        <v>294</v>
      </c>
      <c r="E109" s="11"/>
      <c r="F109" s="12"/>
      <c r="G109" s="13"/>
      <c r="H109" s="14" t="s">
        <v>295</v>
      </c>
    </row>
    <row r="110" customFormat="false" ht="21.75" hidden="false" customHeight="true" outlineLevel="0" collapsed="false">
      <c r="A110" s="10" t="n">
        <v>142</v>
      </c>
      <c r="B110" s="10" t="s">
        <v>296</v>
      </c>
      <c r="C110" s="10" t="s">
        <v>116</v>
      </c>
      <c r="D110" s="10" t="s">
        <v>294</v>
      </c>
      <c r="E110" s="11"/>
      <c r="F110" s="12"/>
      <c r="G110" s="13"/>
      <c r="H110" s="14" t="s">
        <v>297</v>
      </c>
    </row>
    <row r="111" customFormat="false" ht="21.75" hidden="false" customHeight="true" outlineLevel="0" collapsed="false">
      <c r="A111" s="10" t="n">
        <v>143</v>
      </c>
      <c r="B111" s="10" t="s">
        <v>298</v>
      </c>
      <c r="C111" s="10" t="s">
        <v>299</v>
      </c>
      <c r="D111" s="10" t="s">
        <v>294</v>
      </c>
      <c r="E111" s="11"/>
      <c r="F111" s="12"/>
      <c r="G111" s="13"/>
      <c r="H111" s="14" t="s">
        <v>300</v>
      </c>
    </row>
    <row r="112" customFormat="false" ht="21.75" hidden="false" customHeight="true" outlineLevel="0" collapsed="false">
      <c r="A112" s="10" t="n">
        <v>99</v>
      </c>
      <c r="B112" s="10" t="s">
        <v>301</v>
      </c>
      <c r="C112" s="10" t="s">
        <v>294</v>
      </c>
      <c r="D112" s="10" t="s">
        <v>294</v>
      </c>
      <c r="E112" s="11"/>
      <c r="F112" s="12"/>
      <c r="G112" s="13"/>
      <c r="H112" s="14" t="s">
        <v>302</v>
      </c>
    </row>
    <row r="113" customFormat="false" ht="21.75" hidden="false" customHeight="true" outlineLevel="0" collapsed="false">
      <c r="A113" s="10" t="n">
        <v>20</v>
      </c>
      <c r="B113" s="10" t="s">
        <v>303</v>
      </c>
      <c r="C113" s="10" t="s">
        <v>293</v>
      </c>
      <c r="D113" s="10" t="s">
        <v>294</v>
      </c>
      <c r="E113" s="11"/>
      <c r="F113" s="12"/>
      <c r="G113" s="15" t="s">
        <v>304</v>
      </c>
      <c r="H113" s="14" t="s">
        <v>305</v>
      </c>
    </row>
    <row r="114" customFormat="false" ht="21.75" hidden="false" customHeight="true" outlineLevel="0" collapsed="false">
      <c r="A114" s="10" t="n">
        <v>120</v>
      </c>
      <c r="B114" s="10" t="s">
        <v>303</v>
      </c>
      <c r="C114" s="10" t="s">
        <v>293</v>
      </c>
      <c r="D114" s="10" t="s">
        <v>294</v>
      </c>
      <c r="E114" s="11"/>
      <c r="F114" s="12"/>
      <c r="G114" s="15" t="s">
        <v>306</v>
      </c>
      <c r="H114" s="14" t="s">
        <v>307</v>
      </c>
    </row>
    <row r="115" customFormat="false" ht="21.75" hidden="false" customHeight="true" outlineLevel="0" collapsed="false">
      <c r="A115" s="10" t="n">
        <v>101</v>
      </c>
      <c r="B115" s="10" t="s">
        <v>308</v>
      </c>
      <c r="C115" s="10" t="s">
        <v>309</v>
      </c>
      <c r="D115" s="10" t="s">
        <v>294</v>
      </c>
      <c r="E115" s="11"/>
      <c r="F115" s="12"/>
      <c r="G115" s="13"/>
      <c r="H115" s="14" t="s">
        <v>310</v>
      </c>
    </row>
    <row r="116" customFormat="false" ht="21.75" hidden="false" customHeight="true" outlineLevel="0" collapsed="false">
      <c r="A116" s="10" t="n">
        <v>145</v>
      </c>
      <c r="B116" s="10" t="s">
        <v>311</v>
      </c>
      <c r="C116" s="10" t="s">
        <v>312</v>
      </c>
      <c r="D116" s="10" t="s">
        <v>294</v>
      </c>
      <c r="E116" s="11"/>
      <c r="F116" s="12"/>
      <c r="G116" s="13"/>
      <c r="H116" s="14" t="s">
        <v>313</v>
      </c>
    </row>
    <row r="117" customFormat="false" ht="21.75" hidden="false" customHeight="true" outlineLevel="0" collapsed="false">
      <c r="A117" s="10" t="n">
        <v>100</v>
      </c>
      <c r="B117" s="10" t="s">
        <v>314</v>
      </c>
      <c r="C117" s="10" t="s">
        <v>315</v>
      </c>
      <c r="D117" s="10" t="s">
        <v>294</v>
      </c>
      <c r="E117" s="11"/>
      <c r="F117" s="12"/>
      <c r="G117" s="13"/>
      <c r="H117" s="14" t="s">
        <v>316</v>
      </c>
    </row>
    <row r="118" customFormat="false" ht="21.75" hidden="false" customHeight="true" outlineLevel="0" collapsed="false">
      <c r="A118" s="10" t="n">
        <v>146</v>
      </c>
      <c r="B118" s="10" t="s">
        <v>317</v>
      </c>
      <c r="C118" s="10" t="s">
        <v>318</v>
      </c>
      <c r="D118" s="10" t="s">
        <v>294</v>
      </c>
      <c r="E118" s="11"/>
      <c r="F118" s="12"/>
      <c r="G118" s="13"/>
      <c r="H118" s="14" t="s">
        <v>319</v>
      </c>
    </row>
    <row r="119" customFormat="false" ht="21.75" hidden="false" customHeight="true" outlineLevel="0" collapsed="false">
      <c r="A119" s="10" t="n">
        <v>115</v>
      </c>
      <c r="B119" s="10" t="s">
        <v>320</v>
      </c>
      <c r="C119" s="10" t="s">
        <v>293</v>
      </c>
      <c r="D119" s="10" t="s">
        <v>294</v>
      </c>
      <c r="E119" s="11"/>
      <c r="F119" s="12"/>
      <c r="G119" s="13"/>
      <c r="H119" s="14" t="s">
        <v>321</v>
      </c>
    </row>
    <row r="120" customFormat="false" ht="21.75" hidden="false" customHeight="true" outlineLevel="0" collapsed="false">
      <c r="A120" s="10" t="n">
        <v>16</v>
      </c>
      <c r="B120" s="10" t="s">
        <v>322</v>
      </c>
      <c r="C120" s="10" t="s">
        <v>323</v>
      </c>
      <c r="D120" s="10" t="s">
        <v>323</v>
      </c>
      <c r="E120" s="11"/>
      <c r="F120" s="12"/>
      <c r="G120" s="13"/>
      <c r="H120" s="14" t="s">
        <v>324</v>
      </c>
    </row>
    <row r="121" customFormat="false" ht="21.75" hidden="false" customHeight="true" outlineLevel="0" collapsed="false">
      <c r="A121" s="10" t="n">
        <v>98</v>
      </c>
      <c r="B121" s="10" t="s">
        <v>325</v>
      </c>
      <c r="C121" s="10" t="s">
        <v>323</v>
      </c>
      <c r="D121" s="10" t="s">
        <v>323</v>
      </c>
      <c r="E121" s="11"/>
      <c r="F121" s="12"/>
      <c r="G121" s="13"/>
      <c r="H121" s="14" t="s">
        <v>326</v>
      </c>
    </row>
    <row r="122" customFormat="false" ht="21.75" hidden="false" customHeight="true" outlineLevel="0" collapsed="false">
      <c r="A122" s="10" t="n">
        <v>17</v>
      </c>
      <c r="B122" s="10" t="s">
        <v>327</v>
      </c>
      <c r="C122" s="10" t="s">
        <v>323</v>
      </c>
      <c r="D122" s="10" t="s">
        <v>323</v>
      </c>
      <c r="E122" s="11"/>
      <c r="F122" s="12"/>
      <c r="G122" s="13"/>
      <c r="H122" s="14" t="s">
        <v>328</v>
      </c>
    </row>
    <row r="123" customFormat="false" ht="21.75" hidden="false" customHeight="true" outlineLevel="0" collapsed="false">
      <c r="A123" s="10" t="n">
        <v>97</v>
      </c>
      <c r="B123" s="10" t="s">
        <v>329</v>
      </c>
      <c r="C123" s="10" t="s">
        <v>323</v>
      </c>
      <c r="D123" s="10" t="s">
        <v>323</v>
      </c>
      <c r="E123" s="11"/>
      <c r="F123" s="12"/>
      <c r="G123" s="13"/>
      <c r="H123" s="14" t="s">
        <v>330</v>
      </c>
    </row>
    <row r="124" customFormat="false" ht="21.75" hidden="false" customHeight="true" outlineLevel="0" collapsed="false">
      <c r="A124" s="10" t="n">
        <v>136</v>
      </c>
      <c r="B124" s="10" t="s">
        <v>331</v>
      </c>
      <c r="C124" s="10" t="s">
        <v>323</v>
      </c>
      <c r="D124" s="10" t="s">
        <v>323</v>
      </c>
      <c r="E124" s="11"/>
      <c r="F124" s="12"/>
      <c r="G124" s="13"/>
      <c r="H124" s="14" t="s">
        <v>332</v>
      </c>
    </row>
    <row r="125" customFormat="false" ht="21.75" hidden="false" customHeight="true" outlineLevel="0" collapsed="false">
      <c r="A125" s="10" t="n">
        <v>96</v>
      </c>
      <c r="B125" s="10" t="s">
        <v>333</v>
      </c>
      <c r="C125" s="10" t="s">
        <v>323</v>
      </c>
      <c r="D125" s="10" t="s">
        <v>323</v>
      </c>
      <c r="E125" s="11"/>
      <c r="F125" s="12"/>
      <c r="G125" s="15" t="s">
        <v>334</v>
      </c>
      <c r="H125" s="14" t="s">
        <v>335</v>
      </c>
    </row>
    <row r="126" customFormat="false" ht="21.75" hidden="false" customHeight="true" outlineLevel="0" collapsed="false">
      <c r="A126" s="10" t="n">
        <v>18</v>
      </c>
      <c r="B126" s="10" t="s">
        <v>336</v>
      </c>
      <c r="C126" s="10" t="s">
        <v>323</v>
      </c>
      <c r="D126" s="10" t="s">
        <v>323</v>
      </c>
      <c r="E126" s="11"/>
      <c r="F126" s="12"/>
      <c r="G126" s="13"/>
      <c r="H126" s="14" t="s">
        <v>337</v>
      </c>
    </row>
    <row r="127" customFormat="false" ht="21.75" hidden="false" customHeight="true" outlineLevel="0" collapsed="false">
      <c r="A127" s="10" t="n">
        <v>141</v>
      </c>
      <c r="B127" s="10" t="s">
        <v>338</v>
      </c>
      <c r="C127" s="10" t="s">
        <v>323</v>
      </c>
      <c r="D127" s="10" t="s">
        <v>323</v>
      </c>
      <c r="E127" s="11"/>
      <c r="F127" s="12"/>
      <c r="G127" s="13"/>
      <c r="H127" s="14" t="s">
        <v>339</v>
      </c>
    </row>
    <row r="128" customFormat="false" ht="21.75" hidden="false" customHeight="true" outlineLevel="0" collapsed="false">
      <c r="A128" s="10" t="n">
        <v>9</v>
      </c>
      <c r="B128" s="10" t="s">
        <v>340</v>
      </c>
      <c r="C128" s="10" t="s">
        <v>341</v>
      </c>
      <c r="D128" s="10" t="s">
        <v>342</v>
      </c>
      <c r="E128" s="11"/>
      <c r="F128" s="12"/>
      <c r="G128" s="13"/>
      <c r="H128" s="14" t="s">
        <v>343</v>
      </c>
    </row>
    <row r="129" customFormat="false" ht="32.25" hidden="false" customHeight="true" outlineLevel="0" collapsed="false">
      <c r="A129" s="10" t="n">
        <v>102</v>
      </c>
      <c r="B129" s="10" t="s">
        <v>344</v>
      </c>
      <c r="C129" s="10" t="s">
        <v>345</v>
      </c>
      <c r="D129" s="10" t="s">
        <v>342</v>
      </c>
      <c r="E129" s="11"/>
      <c r="F129" s="12"/>
      <c r="G129" s="15" t="s">
        <v>346</v>
      </c>
      <c r="H129" s="14" t="s">
        <v>347</v>
      </c>
    </row>
    <row r="130" customFormat="false" ht="21.75" hidden="false" customHeight="true" outlineLevel="0" collapsed="false">
      <c r="A130" s="10" t="n">
        <v>104</v>
      </c>
      <c r="B130" s="10" t="s">
        <v>348</v>
      </c>
      <c r="C130" s="10" t="s">
        <v>349</v>
      </c>
      <c r="D130" s="10" t="s">
        <v>342</v>
      </c>
      <c r="E130" s="11"/>
      <c r="F130" s="12"/>
      <c r="G130" s="13"/>
      <c r="H130" s="14" t="s">
        <v>350</v>
      </c>
    </row>
    <row r="131" customFormat="false" ht="21.75" hidden="false" customHeight="true" outlineLevel="0" collapsed="false">
      <c r="A131" s="10" t="n">
        <v>14</v>
      </c>
      <c r="B131" s="10" t="s">
        <v>351</v>
      </c>
      <c r="C131" s="10" t="s">
        <v>352</v>
      </c>
      <c r="D131" s="10" t="s">
        <v>342</v>
      </c>
      <c r="E131" s="11"/>
      <c r="F131" s="12"/>
      <c r="G131" s="13"/>
      <c r="H131" s="14" t="s">
        <v>353</v>
      </c>
    </row>
    <row r="132" customFormat="false" ht="21.75" hidden="false" customHeight="true" outlineLevel="0" collapsed="false">
      <c r="A132" s="10" t="n">
        <v>105</v>
      </c>
      <c r="B132" s="10" t="s">
        <v>354</v>
      </c>
      <c r="C132" s="10" t="s">
        <v>355</v>
      </c>
      <c r="D132" s="10" t="s">
        <v>342</v>
      </c>
      <c r="E132" s="11"/>
      <c r="F132" s="12"/>
      <c r="G132" s="13"/>
      <c r="H132" s="14" t="s">
        <v>356</v>
      </c>
    </row>
    <row r="133" customFormat="false" ht="21.75" hidden="false" customHeight="true" outlineLevel="0" collapsed="false">
      <c r="A133" s="10" t="n">
        <v>13</v>
      </c>
      <c r="B133" s="10" t="s">
        <v>357</v>
      </c>
      <c r="C133" s="10" t="s">
        <v>358</v>
      </c>
      <c r="D133" s="10" t="s">
        <v>342</v>
      </c>
      <c r="E133" s="11"/>
      <c r="F133" s="12"/>
      <c r="G133" s="13"/>
      <c r="H133" s="14" t="s">
        <v>359</v>
      </c>
    </row>
    <row r="134" customFormat="false" ht="21.75" hidden="false" customHeight="true" outlineLevel="0" collapsed="false">
      <c r="A134" s="10" t="n">
        <v>103</v>
      </c>
      <c r="B134" s="10" t="s">
        <v>360</v>
      </c>
      <c r="C134" s="10" t="s">
        <v>360</v>
      </c>
      <c r="D134" s="10" t="s">
        <v>342</v>
      </c>
      <c r="E134" s="11"/>
      <c r="F134" s="12"/>
      <c r="G134" s="13"/>
      <c r="H134" s="14" t="s">
        <v>361</v>
      </c>
    </row>
    <row r="135" customFormat="false" ht="21.75" hidden="false" customHeight="true" outlineLevel="0" collapsed="false">
      <c r="A135" s="10" t="n">
        <v>12</v>
      </c>
      <c r="B135" s="10" t="s">
        <v>362</v>
      </c>
      <c r="C135" s="10" t="s">
        <v>363</v>
      </c>
      <c r="D135" s="10" t="s">
        <v>342</v>
      </c>
      <c r="E135" s="11"/>
      <c r="F135" s="12"/>
      <c r="G135" s="13"/>
      <c r="H135" s="14" t="s">
        <v>364</v>
      </c>
    </row>
    <row r="136" customFormat="false" ht="21.75" hidden="false" customHeight="true" outlineLevel="0" collapsed="false">
      <c r="A136" s="10" t="n">
        <v>10</v>
      </c>
      <c r="B136" s="10" t="s">
        <v>365</v>
      </c>
      <c r="C136" s="10" t="s">
        <v>366</v>
      </c>
      <c r="D136" s="10" t="s">
        <v>342</v>
      </c>
      <c r="E136" s="11"/>
      <c r="F136" s="12"/>
      <c r="G136" s="13"/>
      <c r="H136" s="14" t="s">
        <v>367</v>
      </c>
    </row>
    <row r="137" customFormat="false" ht="21.75" hidden="false" customHeight="true" outlineLevel="0" collapsed="false">
      <c r="A137" s="10" t="n">
        <v>11</v>
      </c>
      <c r="B137" s="10" t="s">
        <v>368</v>
      </c>
      <c r="C137" s="10" t="s">
        <v>369</v>
      </c>
      <c r="D137" s="10" t="s">
        <v>342</v>
      </c>
      <c r="E137" s="11"/>
      <c r="F137" s="12"/>
      <c r="G137" s="13"/>
      <c r="H137" s="14" t="s">
        <v>370</v>
      </c>
    </row>
    <row r="138" customFormat="false" ht="21.75" hidden="false" customHeight="true" outlineLevel="0" collapsed="false">
      <c r="A138" s="10" t="n">
        <v>106</v>
      </c>
      <c r="B138" s="10" t="s">
        <v>371</v>
      </c>
      <c r="C138" s="10" t="s">
        <v>371</v>
      </c>
      <c r="D138" s="10" t="s">
        <v>342</v>
      </c>
      <c r="E138" s="11"/>
      <c r="F138" s="12"/>
      <c r="G138" s="13"/>
      <c r="H138" s="14" t="s">
        <v>372</v>
      </c>
    </row>
    <row r="139" customFormat="false" ht="21.75" hidden="false" customHeight="true" outlineLevel="0" collapsed="false">
      <c r="A139" s="10" t="n">
        <v>119</v>
      </c>
      <c r="B139" s="10" t="s">
        <v>373</v>
      </c>
      <c r="C139" s="10" t="s">
        <v>374</v>
      </c>
      <c r="D139" s="10" t="s">
        <v>342</v>
      </c>
      <c r="E139" s="11"/>
      <c r="F139" s="12"/>
      <c r="G139" s="13"/>
      <c r="H139" s="14" t="s">
        <v>375</v>
      </c>
    </row>
    <row r="140" customFormat="false" ht="21.75" hidden="false" customHeight="true" outlineLevel="0" collapsed="false">
      <c r="A140" s="10" t="n">
        <v>107</v>
      </c>
      <c r="B140" s="10" t="s">
        <v>376</v>
      </c>
      <c r="C140" s="10" t="s">
        <v>358</v>
      </c>
      <c r="D140" s="10" t="s">
        <v>342</v>
      </c>
      <c r="E140" s="11"/>
      <c r="F140" s="12"/>
      <c r="G140" s="13"/>
      <c r="H140" s="14" t="s">
        <v>377</v>
      </c>
    </row>
    <row r="141" customFormat="false" ht="21.75" hidden="false" customHeight="true" outlineLevel="0" collapsed="false">
      <c r="A141" s="10" t="n">
        <v>15</v>
      </c>
      <c r="B141" s="10" t="s">
        <v>378</v>
      </c>
      <c r="C141" s="10" t="s">
        <v>369</v>
      </c>
      <c r="D141" s="10" t="s">
        <v>342</v>
      </c>
      <c r="E141" s="11"/>
      <c r="F141" s="12"/>
      <c r="G141" s="13"/>
      <c r="H141" s="14" t="s">
        <v>379</v>
      </c>
    </row>
    <row r="142" customFormat="false" ht="21.75" hidden="false" customHeight="true" outlineLevel="0" collapsed="false">
      <c r="A142" s="10" t="n">
        <v>1</v>
      </c>
      <c r="B142" s="10" t="s">
        <v>380</v>
      </c>
      <c r="C142" s="10" t="s">
        <v>381</v>
      </c>
      <c r="D142" s="10" t="s">
        <v>382</v>
      </c>
      <c r="E142" s="11"/>
      <c r="F142" s="12"/>
      <c r="G142" s="15" t="s">
        <v>383</v>
      </c>
      <c r="H142" s="14" t="s">
        <v>384</v>
      </c>
    </row>
    <row r="143" customFormat="false" ht="21.75" hidden="false" customHeight="true" outlineLevel="0" collapsed="false">
      <c r="A143" s="10" t="n">
        <v>8</v>
      </c>
      <c r="B143" s="10" t="s">
        <v>385</v>
      </c>
      <c r="C143" s="10" t="s">
        <v>386</v>
      </c>
      <c r="D143" s="10" t="s">
        <v>382</v>
      </c>
      <c r="E143" s="11"/>
      <c r="F143" s="12"/>
      <c r="G143" s="13"/>
      <c r="H143" s="14" t="s">
        <v>387</v>
      </c>
    </row>
    <row r="144" customFormat="false" ht="21.75" hidden="false" customHeight="true" outlineLevel="0" collapsed="false">
      <c r="A144" s="10" t="n">
        <v>79</v>
      </c>
      <c r="B144" s="10" t="s">
        <v>388</v>
      </c>
      <c r="C144" s="10" t="s">
        <v>389</v>
      </c>
      <c r="D144" s="10" t="s">
        <v>382</v>
      </c>
      <c r="E144" s="11"/>
      <c r="F144" s="12"/>
      <c r="G144" s="15" t="s">
        <v>390</v>
      </c>
      <c r="H144" s="14" t="s">
        <v>391</v>
      </c>
    </row>
    <row r="145" customFormat="false" ht="21.75" hidden="false" customHeight="true" outlineLevel="0" collapsed="false">
      <c r="A145" s="10" t="n">
        <v>3</v>
      </c>
      <c r="B145" s="10" t="s">
        <v>392</v>
      </c>
      <c r="C145" s="10" t="s">
        <v>393</v>
      </c>
      <c r="D145" s="10" t="s">
        <v>382</v>
      </c>
      <c r="E145" s="11"/>
      <c r="F145" s="12"/>
      <c r="G145" s="13"/>
      <c r="H145" s="14" t="s">
        <v>394</v>
      </c>
    </row>
    <row r="146" customFormat="false" ht="21.75" hidden="false" customHeight="true" outlineLevel="0" collapsed="false">
      <c r="A146" s="10" t="n">
        <v>77</v>
      </c>
      <c r="B146" s="10" t="s">
        <v>395</v>
      </c>
      <c r="C146" s="10" t="s">
        <v>396</v>
      </c>
      <c r="D146" s="10" t="s">
        <v>382</v>
      </c>
      <c r="E146" s="11"/>
      <c r="F146" s="12"/>
      <c r="G146" s="13"/>
      <c r="H146" s="14" t="s">
        <v>397</v>
      </c>
    </row>
    <row r="147" customFormat="false" ht="21.75" hidden="false" customHeight="true" outlineLevel="0" collapsed="false">
      <c r="A147" s="10" t="n">
        <v>148</v>
      </c>
      <c r="B147" s="10" t="s">
        <v>398</v>
      </c>
      <c r="C147" s="10" t="s">
        <v>396</v>
      </c>
      <c r="D147" s="10" t="s">
        <v>382</v>
      </c>
      <c r="E147" s="11"/>
      <c r="F147" s="12"/>
      <c r="G147" s="13"/>
      <c r="H147" s="14" t="s">
        <v>399</v>
      </c>
    </row>
    <row r="148" customFormat="false" ht="21.75" hidden="false" customHeight="true" outlineLevel="0" collapsed="false">
      <c r="A148" s="10" t="n">
        <v>4</v>
      </c>
      <c r="B148" s="10" t="s">
        <v>400</v>
      </c>
      <c r="C148" s="10" t="s">
        <v>401</v>
      </c>
      <c r="D148" s="10" t="s">
        <v>382</v>
      </c>
      <c r="E148" s="11"/>
      <c r="F148" s="12"/>
      <c r="G148" s="13"/>
      <c r="H148" s="14" t="s">
        <v>402</v>
      </c>
    </row>
    <row r="149" customFormat="false" ht="21.75" hidden="false" customHeight="true" outlineLevel="0" collapsed="false">
      <c r="A149" s="10" t="n">
        <v>7</v>
      </c>
      <c r="B149" s="10" t="s">
        <v>403</v>
      </c>
      <c r="C149" s="10" t="s">
        <v>404</v>
      </c>
      <c r="D149" s="10" t="s">
        <v>382</v>
      </c>
      <c r="E149" s="11"/>
      <c r="F149" s="12"/>
      <c r="G149" s="13"/>
      <c r="H149" s="14" t="s">
        <v>405</v>
      </c>
    </row>
    <row r="150" customFormat="false" ht="21.75" hidden="false" customHeight="true" outlineLevel="0" collapsed="false">
      <c r="A150" s="10" t="n">
        <v>6</v>
      </c>
      <c r="B150" s="10" t="s">
        <v>406</v>
      </c>
      <c r="C150" s="10" t="s">
        <v>407</v>
      </c>
      <c r="D150" s="10" t="s">
        <v>382</v>
      </c>
      <c r="E150" s="11"/>
      <c r="F150" s="12"/>
      <c r="G150" s="13"/>
      <c r="H150" s="14" t="s">
        <v>408</v>
      </c>
    </row>
    <row r="151" customFormat="false" ht="21.75" hidden="false" customHeight="true" outlineLevel="0" collapsed="false">
      <c r="A151" s="10" t="n">
        <v>2</v>
      </c>
      <c r="B151" s="10" t="s">
        <v>409</v>
      </c>
      <c r="C151" s="10" t="s">
        <v>410</v>
      </c>
      <c r="D151" s="10" t="s">
        <v>382</v>
      </c>
      <c r="E151" s="11"/>
      <c r="F151" s="12"/>
      <c r="G151" s="13"/>
      <c r="H151" s="14" t="s">
        <v>411</v>
      </c>
    </row>
    <row r="152" customFormat="false" ht="21.75" hidden="false" customHeight="true" outlineLevel="0" collapsed="false">
      <c r="A152" s="10" t="n">
        <v>5</v>
      </c>
      <c r="B152" s="10" t="s">
        <v>412</v>
      </c>
      <c r="C152" s="10" t="s">
        <v>401</v>
      </c>
      <c r="D152" s="10" t="s">
        <v>382</v>
      </c>
      <c r="E152" s="11"/>
      <c r="F152" s="12"/>
      <c r="G152" s="13"/>
      <c r="H152" s="14" t="s">
        <v>413</v>
      </c>
    </row>
  </sheetData>
  <autoFilter ref="A9:H152"/>
  <dataValidations count="1">
    <dataValidation allowBlank="true" error="Rating must be between 1.0 and 5.0. Leave blank if you have not paddled it." errorStyle="stop" errorTitle="Out of range" operator="between" showDropDown="false" showErrorMessage="true" showInputMessage="true" sqref="E11:E152" type="decimal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2026-07-17T00:15:40Z</dcterms:created>
  <dc:creator>openpyxl</dc:creator>
  <dc:description/>
  <dc:language>en-CA</dc:language>
  <cp:lastModifiedBy/>
  <dcterms:modified xsi:type="dcterms:W3CDTF">2026-07-17T00:15:40Z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